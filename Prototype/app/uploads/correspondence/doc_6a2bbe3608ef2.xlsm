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-pri\Downloads\JPRISM3_FDE_V1.3 (1)\"/>
    </mc:Choice>
  </mc:AlternateContent>
  <xr:revisionPtr revIDLastSave="0" documentId="13_ncr:1_{1377370D-38A7-4453-A1EF-CACB55EC4D40}" xr6:coauthVersionLast="47" xr6:coauthVersionMax="47" xr10:uidLastSave="{00000000-0000-0000-0000-000000000000}"/>
  <bookViews>
    <workbookView xWindow="-120" yWindow="-120" windowWidth="20730" windowHeight="11040" firstSheet="5" activeTab="6" xr2:uid="{B13455BB-D354-42D6-842F-B85749938A7D}"/>
  </bookViews>
  <sheets>
    <sheet name="SYS_Tables" sheetId="5" state="veryHidden" r:id="rId1"/>
    <sheet name="SYS_Sheets" sheetId="3" state="veryHidden" r:id="rId2"/>
    <sheet name="DB_Data" sheetId="7" state="veryHidden" r:id="rId3"/>
    <sheet name="DB_tblSummary" sheetId="50" state="veryHidden" r:id="rId4"/>
    <sheet name="TMP_ADM" sheetId="2" state="veryHidden" r:id="rId5"/>
    <sheet name="Master_Input" sheetId="1" r:id="rId6"/>
    <sheet name="Dashboard" sheetId="49" r:id="rId7"/>
    <sheet name="Financial_Resources" sheetId="54" r:id="rId8"/>
    <sheet name="Collection and Transport Town B" sheetId="56" r:id="rId9"/>
    <sheet name="Disposal" sheetId="57" r:id="rId10"/>
    <sheet name="Public Awareness" sheetId="58" r:id="rId11"/>
    <sheet name="Administration" sheetId="59" r:id="rId12"/>
    <sheet name="C&amp;T Delegated" sheetId="60" r:id="rId13"/>
    <sheet name="DirtySheet_140427" sheetId="61" r:id="rId14"/>
    <sheet name="CHART_HELPER" sheetId="55" state="veryHidden" r:id="rId15"/>
  </sheets>
  <functionGroups builtInGroupCount="19"/>
  <definedNames>
    <definedName name="GrandTotal_OC">Dashboard!$BH$6</definedName>
    <definedName name="router" localSheetId="5">dropdownTBL[DROPDOWN CATEGORY]</definedName>
    <definedName name="routers" localSheetId="11">dropdownTBL[DROPDOWN CATEGORY]</definedName>
    <definedName name="routers" localSheetId="12">dropdownTBL[DROPDOWN CATEGORY]</definedName>
    <definedName name="routers" localSheetId="8">dropdownTBL[DROPDOWN CATEGORY]</definedName>
    <definedName name="routers" localSheetId="13">dropdownTBL[DROPDOWN CATEGORY]</definedName>
    <definedName name="routers" localSheetId="9">dropdownTBL[DROPDOWN CATEGORY]</definedName>
    <definedName name="routers" localSheetId="10">dropdownTBL[DROPDOWN CATEGORY]</definedName>
    <definedName name="routers">dropdownTBL[DROPDOWN CATEGORY]</definedName>
    <definedName name="TotalExpense_OC">Dashboard!$BH$7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9" i="1" l="1"/>
  <c r="E101" i="60"/>
  <c r="K93" i="60"/>
  <c r="M93" i="60" s="1"/>
  <c r="H93" i="60"/>
  <c r="H92" i="60"/>
  <c r="K92" i="60" s="1"/>
  <c r="M92" i="60" s="1"/>
  <c r="K91" i="60"/>
  <c r="M91" i="60" s="1"/>
  <c r="H91" i="60"/>
  <c r="H90" i="60"/>
  <c r="K90" i="60" s="1"/>
  <c r="M90" i="60" s="1"/>
  <c r="K89" i="60"/>
  <c r="M89" i="60" s="1"/>
  <c r="H89" i="60"/>
  <c r="H88" i="60"/>
  <c r="K88" i="60" s="1"/>
  <c r="M88" i="60" s="1"/>
  <c r="K87" i="60"/>
  <c r="M87" i="60" s="1"/>
  <c r="H87" i="60"/>
  <c r="H94" i="60" s="1"/>
  <c r="G80" i="60"/>
  <c r="G79" i="60"/>
  <c r="G78" i="60"/>
  <c r="G77" i="60"/>
  <c r="G76" i="60"/>
  <c r="G75" i="60"/>
  <c r="G74" i="60"/>
  <c r="G73" i="60"/>
  <c r="E105" i="60" s="1"/>
  <c r="E66" i="60"/>
  <c r="L31" i="60"/>
  <c r="K31" i="60"/>
  <c r="J31" i="60"/>
  <c r="I31" i="60"/>
  <c r="H31" i="60"/>
  <c r="G31" i="60"/>
  <c r="F31" i="60"/>
  <c r="N30" i="60"/>
  <c r="N29" i="60"/>
  <c r="N28" i="60"/>
  <c r="N27" i="60"/>
  <c r="N26" i="60"/>
  <c r="N25" i="60"/>
  <c r="N31" i="60" s="1"/>
  <c r="L19" i="60"/>
  <c r="K19" i="60"/>
  <c r="J19" i="60"/>
  <c r="I19" i="60"/>
  <c r="H19" i="60"/>
  <c r="G19" i="60"/>
  <c r="F19" i="60"/>
  <c r="N18" i="60"/>
  <c r="N17" i="60"/>
  <c r="N16" i="60"/>
  <c r="N15" i="60"/>
  <c r="N14" i="60"/>
  <c r="N13" i="60"/>
  <c r="N12" i="60"/>
  <c r="N11" i="60"/>
  <c r="N10" i="60"/>
  <c r="N9" i="60"/>
  <c r="N19" i="60" s="1"/>
  <c r="D3" i="60"/>
  <c r="D2" i="60"/>
  <c r="N13" i="49"/>
  <c r="E101" i="59"/>
  <c r="K93" i="59"/>
  <c r="M93" i="59" s="1"/>
  <c r="H93" i="59"/>
  <c r="H92" i="59"/>
  <c r="K92" i="59" s="1"/>
  <c r="M92" i="59" s="1"/>
  <c r="H91" i="59"/>
  <c r="K91" i="59" s="1"/>
  <c r="M91" i="59" s="1"/>
  <c r="H90" i="59"/>
  <c r="K90" i="59" s="1"/>
  <c r="M90" i="59" s="1"/>
  <c r="K89" i="59"/>
  <c r="M89" i="59" s="1"/>
  <c r="H89" i="59"/>
  <c r="H88" i="59"/>
  <c r="K88" i="59" s="1"/>
  <c r="M88" i="59" s="1"/>
  <c r="H87" i="59"/>
  <c r="H94" i="59" s="1"/>
  <c r="G80" i="59"/>
  <c r="G79" i="59"/>
  <c r="G78" i="59"/>
  <c r="G77" i="59"/>
  <c r="G76" i="59"/>
  <c r="G75" i="59"/>
  <c r="G74" i="59"/>
  <c r="G73" i="59"/>
  <c r="E105" i="59" s="1"/>
  <c r="E66" i="59"/>
  <c r="L31" i="59"/>
  <c r="K31" i="59"/>
  <c r="J31" i="59"/>
  <c r="I31" i="59"/>
  <c r="H31" i="59"/>
  <c r="G31" i="59"/>
  <c r="F31" i="59"/>
  <c r="N30" i="59"/>
  <c r="N29" i="59"/>
  <c r="N28" i="59"/>
  <c r="N27" i="59"/>
  <c r="N26" i="59"/>
  <c r="N25" i="59"/>
  <c r="N31" i="59" s="1"/>
  <c r="L19" i="59"/>
  <c r="K19" i="59"/>
  <c r="J19" i="59"/>
  <c r="I19" i="59"/>
  <c r="H19" i="59"/>
  <c r="G19" i="59"/>
  <c r="F19" i="59"/>
  <c r="N18" i="59"/>
  <c r="N17" i="59"/>
  <c r="N16" i="59"/>
  <c r="N15" i="59"/>
  <c r="N14" i="59"/>
  <c r="N13" i="59"/>
  <c r="N12" i="59"/>
  <c r="N11" i="59"/>
  <c r="N10" i="59"/>
  <c r="N9" i="59"/>
  <c r="N19" i="59" s="1"/>
  <c r="D3" i="59"/>
  <c r="D2" i="59"/>
  <c r="E101" i="58"/>
  <c r="H93" i="58"/>
  <c r="K93" i="58" s="1"/>
  <c r="M93" i="58" s="1"/>
  <c r="H92" i="58"/>
  <c r="K92" i="58" s="1"/>
  <c r="M92" i="58" s="1"/>
  <c r="M91" i="58"/>
  <c r="K91" i="58"/>
  <c r="H91" i="58"/>
  <c r="K90" i="58"/>
  <c r="M90" i="58" s="1"/>
  <c r="H90" i="58"/>
  <c r="H89" i="58"/>
  <c r="H94" i="58" s="1"/>
  <c r="H88" i="58"/>
  <c r="K88" i="58" s="1"/>
  <c r="M88" i="58" s="1"/>
  <c r="M87" i="58"/>
  <c r="K87" i="58"/>
  <c r="H87" i="58"/>
  <c r="G79" i="58"/>
  <c r="G78" i="58"/>
  <c r="G77" i="58"/>
  <c r="G76" i="58"/>
  <c r="G75" i="58"/>
  <c r="E105" i="58" s="1"/>
  <c r="G74" i="58"/>
  <c r="G80" i="58" s="1"/>
  <c r="G73" i="58"/>
  <c r="E66" i="58"/>
  <c r="L31" i="58"/>
  <c r="K31" i="58"/>
  <c r="J31" i="58"/>
  <c r="I31" i="58"/>
  <c r="H31" i="58"/>
  <c r="G31" i="58"/>
  <c r="F31" i="58"/>
  <c r="N30" i="58"/>
  <c r="N29" i="58"/>
  <c r="N28" i="58"/>
  <c r="N27" i="58"/>
  <c r="N26" i="58"/>
  <c r="N31" i="58" s="1"/>
  <c r="N25" i="58"/>
  <c r="L19" i="58"/>
  <c r="K19" i="58"/>
  <c r="J19" i="58"/>
  <c r="I19" i="58"/>
  <c r="H19" i="58"/>
  <c r="G19" i="58"/>
  <c r="F19" i="58"/>
  <c r="N18" i="58"/>
  <c r="N17" i="58"/>
  <c r="N16" i="58"/>
  <c r="N15" i="58"/>
  <c r="N14" i="58"/>
  <c r="N13" i="58"/>
  <c r="N12" i="58"/>
  <c r="N11" i="58"/>
  <c r="N10" i="58"/>
  <c r="N9" i="58"/>
  <c r="N19" i="58" s="1"/>
  <c r="D3" i="58"/>
  <c r="D2" i="58"/>
  <c r="E101" i="57"/>
  <c r="K93" i="57"/>
  <c r="M93" i="57" s="1"/>
  <c r="H93" i="57"/>
  <c r="H92" i="57"/>
  <c r="K92" i="57" s="1"/>
  <c r="M92" i="57" s="1"/>
  <c r="M91" i="57"/>
  <c r="K91" i="57"/>
  <c r="H91" i="57"/>
  <c r="M90" i="57"/>
  <c r="K90" i="57"/>
  <c r="H90" i="57"/>
  <c r="K89" i="57"/>
  <c r="M89" i="57" s="1"/>
  <c r="H89" i="57"/>
  <c r="H88" i="57"/>
  <c r="K88" i="57" s="1"/>
  <c r="M88" i="57" s="1"/>
  <c r="M87" i="57"/>
  <c r="K87" i="57"/>
  <c r="H87" i="57"/>
  <c r="H94" i="57" s="1"/>
  <c r="G80" i="57"/>
  <c r="G79" i="57"/>
  <c r="G78" i="57"/>
  <c r="G77" i="57"/>
  <c r="G76" i="57"/>
  <c r="G75" i="57"/>
  <c r="G74" i="57"/>
  <c r="G73" i="57"/>
  <c r="E105" i="57" s="1"/>
  <c r="E66" i="57"/>
  <c r="L31" i="57"/>
  <c r="K31" i="57"/>
  <c r="J31" i="57"/>
  <c r="I31" i="57"/>
  <c r="H31" i="57"/>
  <c r="G31" i="57"/>
  <c r="F31" i="57"/>
  <c r="N30" i="57"/>
  <c r="N29" i="57"/>
  <c r="N28" i="57"/>
  <c r="N27" i="57"/>
  <c r="N26" i="57"/>
  <c r="N25" i="57"/>
  <c r="N31" i="57" s="1"/>
  <c r="L19" i="57"/>
  <c r="K19" i="57"/>
  <c r="J19" i="57"/>
  <c r="I19" i="57"/>
  <c r="H19" i="57"/>
  <c r="G19" i="57"/>
  <c r="F19" i="57"/>
  <c r="N18" i="57"/>
  <c r="N17" i="57"/>
  <c r="N16" i="57"/>
  <c r="N15" i="57"/>
  <c r="N14" i="57"/>
  <c r="N13" i="57"/>
  <c r="N12" i="57"/>
  <c r="N11" i="57"/>
  <c r="N10" i="57"/>
  <c r="N9" i="57"/>
  <c r="N19" i="57" s="1"/>
  <c r="D3" i="57"/>
  <c r="D2" i="57"/>
  <c r="K87" i="56"/>
  <c r="E101" i="56"/>
  <c r="K93" i="56"/>
  <c r="M93" i="56" s="1"/>
  <c r="H93" i="56"/>
  <c r="H92" i="56"/>
  <c r="K92" i="56" s="1"/>
  <c r="M92" i="56" s="1"/>
  <c r="H91" i="56"/>
  <c r="K91" i="56" s="1"/>
  <c r="M91" i="56" s="1"/>
  <c r="H90" i="56"/>
  <c r="K90" i="56" s="1"/>
  <c r="M90" i="56" s="1"/>
  <c r="K89" i="56"/>
  <c r="M89" i="56" s="1"/>
  <c r="H89" i="56"/>
  <c r="H88" i="56"/>
  <c r="K88" i="56" s="1"/>
  <c r="M88" i="56" s="1"/>
  <c r="H87" i="56"/>
  <c r="H94" i="56" s="1"/>
  <c r="G79" i="56"/>
  <c r="G78" i="56"/>
  <c r="G77" i="56"/>
  <c r="G76" i="56"/>
  <c r="G80" i="56" s="1"/>
  <c r="G75" i="56"/>
  <c r="G74" i="56"/>
  <c r="G73" i="56"/>
  <c r="E105" i="56" s="1"/>
  <c r="E66" i="56"/>
  <c r="L31" i="56"/>
  <c r="K31" i="56"/>
  <c r="J31" i="56"/>
  <c r="I31" i="56"/>
  <c r="H31" i="56"/>
  <c r="G31" i="56"/>
  <c r="F31" i="56"/>
  <c r="N30" i="56"/>
  <c r="N29" i="56"/>
  <c r="N28" i="56"/>
  <c r="N27" i="56"/>
  <c r="N26" i="56"/>
  <c r="N25" i="56"/>
  <c r="N31" i="56" s="1"/>
  <c r="L19" i="56"/>
  <c r="K19" i="56"/>
  <c r="J19" i="56"/>
  <c r="I19" i="56"/>
  <c r="H19" i="56"/>
  <c r="G19" i="56"/>
  <c r="F19" i="56"/>
  <c r="N18" i="56"/>
  <c r="N17" i="56"/>
  <c r="N16" i="56"/>
  <c r="N15" i="56"/>
  <c r="N14" i="56"/>
  <c r="N13" i="56"/>
  <c r="N12" i="56"/>
  <c r="N11" i="56"/>
  <c r="N10" i="56"/>
  <c r="N9" i="56"/>
  <c r="N19" i="56" s="1"/>
  <c r="D3" i="56"/>
  <c r="D2" i="56"/>
  <c r="H93" i="2"/>
  <c r="K93" i="2" s="1"/>
  <c r="M93" i="2" s="1"/>
  <c r="H92" i="2"/>
  <c r="K92" i="2" s="1"/>
  <c r="M92" i="2" s="1"/>
  <c r="N19" i="49"/>
  <c r="F37" i="1"/>
  <c r="D35" i="1"/>
  <c r="O40" i="49" s="1"/>
  <c r="D33" i="1"/>
  <c r="O27" i="49" s="1"/>
  <c r="N18" i="49"/>
  <c r="M48" i="49"/>
  <c r="N48" i="49"/>
  <c r="O48" i="49"/>
  <c r="M49" i="49"/>
  <c r="N49" i="49"/>
  <c r="O49" i="49"/>
  <c r="M50" i="49"/>
  <c r="N50" i="49"/>
  <c r="O50" i="49"/>
  <c r="M51" i="49"/>
  <c r="N51" i="49"/>
  <c r="O51" i="49"/>
  <c r="M52" i="49"/>
  <c r="N52" i="49"/>
  <c r="O52" i="49"/>
  <c r="M53" i="49"/>
  <c r="N53" i="49"/>
  <c r="O53" i="49"/>
  <c r="M54" i="49"/>
  <c r="N54" i="49"/>
  <c r="O54" i="49"/>
  <c r="M55" i="49"/>
  <c r="N55" i="49"/>
  <c r="O55" i="49"/>
  <c r="M56" i="49"/>
  <c r="N56" i="49"/>
  <c r="O56" i="49"/>
  <c r="M57" i="49"/>
  <c r="M58" i="49"/>
  <c r="N58" i="49"/>
  <c r="O58" i="49"/>
  <c r="M59" i="49"/>
  <c r="N59" i="49"/>
  <c r="O59" i="49"/>
  <c r="M60" i="49"/>
  <c r="N60" i="49"/>
  <c r="M61" i="49"/>
  <c r="N61" i="49"/>
  <c r="O61" i="49"/>
  <c r="M62" i="49"/>
  <c r="N62" i="49"/>
  <c r="M63" i="49"/>
  <c r="M64" i="49"/>
  <c r="N64" i="49"/>
  <c r="O64" i="49"/>
  <c r="M65" i="49"/>
  <c r="N65" i="49"/>
  <c r="O65" i="49"/>
  <c r="M66" i="49"/>
  <c r="N66" i="49"/>
  <c r="O66" i="49"/>
  <c r="M67" i="49"/>
  <c r="M68" i="49"/>
  <c r="N68" i="49"/>
  <c r="O68" i="49"/>
  <c r="M69" i="49"/>
  <c r="N69" i="49"/>
  <c r="O69" i="49"/>
  <c r="M70" i="49"/>
  <c r="N70" i="49"/>
  <c r="O70" i="49"/>
  <c r="M71" i="49"/>
  <c r="N71" i="49"/>
  <c r="O71" i="49"/>
  <c r="M72" i="49"/>
  <c r="N72" i="49"/>
  <c r="O72" i="49"/>
  <c r="M73" i="49"/>
  <c r="N73" i="49"/>
  <c r="O73" i="49"/>
  <c r="M74" i="49"/>
  <c r="N74" i="49"/>
  <c r="O74" i="49"/>
  <c r="M75" i="49"/>
  <c r="N75" i="49"/>
  <c r="O75" i="49"/>
  <c r="M76" i="49"/>
  <c r="N76" i="49"/>
  <c r="O76" i="49"/>
  <c r="M77" i="49"/>
  <c r="N77" i="49"/>
  <c r="O77" i="49"/>
  <c r="M78" i="49"/>
  <c r="N78" i="49"/>
  <c r="O78" i="49"/>
  <c r="M79" i="49"/>
  <c r="N79" i="49"/>
  <c r="O79" i="49"/>
  <c r="M36" i="49"/>
  <c r="N36" i="49"/>
  <c r="O36" i="49"/>
  <c r="M37" i="49"/>
  <c r="N37" i="49"/>
  <c r="O37" i="49"/>
  <c r="M38" i="49"/>
  <c r="N38" i="49"/>
  <c r="M39" i="49"/>
  <c r="N39" i="49"/>
  <c r="O39" i="49"/>
  <c r="M40" i="49"/>
  <c r="N40" i="49"/>
  <c r="M41" i="49"/>
  <c r="M42" i="49"/>
  <c r="N42" i="49"/>
  <c r="O42" i="49"/>
  <c r="M43" i="49"/>
  <c r="N43" i="49"/>
  <c r="O43" i="49"/>
  <c r="M44" i="49"/>
  <c r="N44" i="49"/>
  <c r="O44" i="49"/>
  <c r="M45" i="49"/>
  <c r="M46" i="49"/>
  <c r="N46" i="49"/>
  <c r="O46" i="49"/>
  <c r="M47" i="49"/>
  <c r="N47" i="49"/>
  <c r="O47" i="49"/>
  <c r="D61" i="1"/>
  <c r="O62" i="49" s="1"/>
  <c r="D59" i="1"/>
  <c r="O60" i="49" s="1"/>
  <c r="P14" i="49" l="1"/>
  <c r="P13" i="49"/>
  <c r="E104" i="60"/>
  <c r="E106" i="60"/>
  <c r="M94" i="60"/>
  <c r="E108" i="60" s="1"/>
  <c r="E109" i="60" s="1"/>
  <c r="F38" i="1"/>
  <c r="E104" i="59"/>
  <c r="E106" i="59"/>
  <c r="K87" i="59"/>
  <c r="M87" i="59" s="1"/>
  <c r="M94" i="59" s="1"/>
  <c r="E108" i="59" s="1"/>
  <c r="E109" i="59" s="1"/>
  <c r="E104" i="58"/>
  <c r="E106" i="58"/>
  <c r="K89" i="58"/>
  <c r="M89" i="58" s="1"/>
  <c r="M94" i="58" s="1"/>
  <c r="E108" i="58" s="1"/>
  <c r="E109" i="58" s="1"/>
  <c r="M94" i="57"/>
  <c r="E108" i="57" s="1"/>
  <c r="E109" i="57" s="1"/>
  <c r="E104" i="57"/>
  <c r="E106" i="57"/>
  <c r="E104" i="56"/>
  <c r="E106" i="56"/>
  <c r="M87" i="56"/>
  <c r="M94" i="56" s="1"/>
  <c r="E108" i="56" s="1"/>
  <c r="E109" i="56" s="1"/>
  <c r="O24" i="49"/>
  <c r="O25" i="49"/>
  <c r="O38" i="49"/>
  <c r="C38" i="49"/>
  <c r="I40" i="49"/>
  <c r="H40" i="49"/>
  <c r="O26" i="49" s="1"/>
  <c r="N14" i="49"/>
  <c r="O34" i="49"/>
  <c r="N34" i="49"/>
  <c r="M34" i="49"/>
  <c r="M35" i="49"/>
  <c r="N10" i="49"/>
  <c r="P15" i="49" l="1"/>
  <c r="E110" i="60"/>
  <c r="E102" i="60"/>
  <c r="E110" i="59"/>
  <c r="E102" i="59"/>
  <c r="E110" i="58"/>
  <c r="E102" i="58"/>
  <c r="E110" i="57"/>
  <c r="E102" i="57"/>
  <c r="E110" i="56"/>
  <c r="E102" i="56"/>
  <c r="N20" i="49"/>
  <c r="N15" i="49"/>
  <c r="A2" i="55"/>
  <c r="A13" i="55"/>
  <c r="A14" i="55"/>
  <c r="A15" i="55"/>
  <c r="A16" i="55"/>
  <c r="A12" i="55"/>
  <c r="A3" i="55"/>
  <c r="A4" i="55"/>
  <c r="A5" i="55"/>
  <c r="A6" i="55"/>
  <c r="A7" i="55"/>
  <c r="A8" i="55"/>
  <c r="A9" i="55"/>
  <c r="A10" i="55"/>
  <c r="A11" i="55"/>
  <c r="A22" i="55"/>
  <c r="B22" i="55"/>
  <c r="A23" i="55"/>
  <c r="B17" i="55"/>
  <c r="B18" i="55"/>
  <c r="B21" i="55"/>
  <c r="A17" i="55"/>
  <c r="A18" i="55"/>
  <c r="D3" i="54"/>
  <c r="C41" i="49"/>
  <c r="D35" i="49" s="1"/>
  <c r="C4" i="49"/>
  <c r="H33" i="49" s="1"/>
  <c r="C3" i="49"/>
  <c r="D40" i="49" l="1"/>
  <c r="D37" i="49"/>
  <c r="D36" i="49"/>
  <c r="C33" i="49"/>
  <c r="D38" i="49" l="1"/>
  <c r="B2" i="49"/>
  <c r="B16" i="55" l="1"/>
  <c r="B12" i="55"/>
  <c r="B2" i="55"/>
  <c r="C45" i="49"/>
  <c r="C44" i="49"/>
  <c r="D45" i="49"/>
  <c r="D44" i="49"/>
  <c r="B14" i="55" l="1"/>
  <c r="B13" i="55"/>
  <c r="B15" i="55"/>
  <c r="B11" i="55"/>
  <c r="B9" i="55" l="1"/>
  <c r="B10" i="55"/>
  <c r="B7" i="55"/>
  <c r="B8" i="55"/>
  <c r="B5" i="55"/>
  <c r="B6" i="55"/>
  <c r="B3" i="55"/>
  <c r="B4" i="55"/>
  <c r="E101" i="2" l="1"/>
  <c r="D118" i="54"/>
  <c r="D117" i="54"/>
  <c r="D116" i="54"/>
  <c r="D115" i="54"/>
  <c r="D114" i="54"/>
  <c r="D110" i="54"/>
  <c r="D109" i="54"/>
  <c r="D108" i="54"/>
  <c r="D107" i="54"/>
  <c r="D106" i="54"/>
  <c r="D105" i="54"/>
  <c r="D104" i="54"/>
  <c r="D103" i="54"/>
  <c r="D102" i="54"/>
  <c r="D101" i="54"/>
  <c r="D41" i="49" l="1"/>
  <c r="I30" i="54" l="1"/>
  <c r="D3" i="2" l="1"/>
  <c r="N12" i="2" l="1"/>
  <c r="N28" i="2"/>
  <c r="N9" i="2"/>
  <c r="J91" i="54"/>
  <c r="E118" i="54" s="1"/>
  <c r="I91" i="54"/>
  <c r="J87" i="54"/>
  <c r="E117" i="54" s="1"/>
  <c r="I87" i="54"/>
  <c r="E93" i="54"/>
  <c r="J83" i="54"/>
  <c r="E116" i="54" s="1"/>
  <c r="I83" i="54"/>
  <c r="J78" i="54"/>
  <c r="E115" i="54" s="1"/>
  <c r="I78" i="54"/>
  <c r="J72" i="54"/>
  <c r="E114" i="54" s="1"/>
  <c r="I72" i="54"/>
  <c r="I25" i="54"/>
  <c r="J63" i="54"/>
  <c r="I63" i="54"/>
  <c r="J59" i="54"/>
  <c r="I59" i="54"/>
  <c r="J55" i="54"/>
  <c r="I55" i="54"/>
  <c r="J46" i="54"/>
  <c r="I46" i="54"/>
  <c r="J41" i="54"/>
  <c r="I41" i="54"/>
  <c r="J35" i="54"/>
  <c r="I35" i="54"/>
  <c r="J30" i="54"/>
  <c r="E119" i="54" l="1"/>
  <c r="E105" i="54"/>
  <c r="E109" i="54"/>
  <c r="E107" i="54"/>
  <c r="E108" i="54"/>
  <c r="E110" i="54"/>
  <c r="E104" i="54"/>
  <c r="E106" i="54"/>
  <c r="J25" i="54"/>
  <c r="J17" i="54"/>
  <c r="I17" i="54"/>
  <c r="J10" i="54"/>
  <c r="I10" i="54"/>
  <c r="E101" i="54" l="1"/>
  <c r="E102" i="54"/>
  <c r="E103" i="54"/>
  <c r="J93" i="54"/>
  <c r="I93" i="54"/>
  <c r="G78" i="2"/>
  <c r="G77" i="2"/>
  <c r="G76" i="2"/>
  <c r="G75" i="2"/>
  <c r="G74" i="2"/>
  <c r="G73" i="2"/>
  <c r="D2" i="54"/>
  <c r="N11" i="2"/>
  <c r="N10" i="2"/>
  <c r="N13" i="2"/>
  <c r="N14" i="2"/>
  <c r="N15" i="2"/>
  <c r="N16" i="2"/>
  <c r="N17" i="2"/>
  <c r="N18" i="2"/>
  <c r="E111" i="54" l="1"/>
  <c r="E120" i="54" s="1"/>
  <c r="H87" i="2"/>
  <c r="H88" i="2"/>
  <c r="K88" i="2" s="1"/>
  <c r="M88" i="2" s="1"/>
  <c r="H89" i="2"/>
  <c r="K89" i="2" s="1"/>
  <c r="M89" i="2" s="1"/>
  <c r="H90" i="2"/>
  <c r="K90" i="2" s="1"/>
  <c r="M90" i="2" s="1"/>
  <c r="H91" i="2"/>
  <c r="K91" i="2" s="1"/>
  <c r="M91" i="2" s="1"/>
  <c r="K87" i="2" l="1"/>
  <c r="M87" i="2" s="1"/>
  <c r="H94" i="2"/>
  <c r="N25" i="2" l="1"/>
  <c r="N26" i="2"/>
  <c r="N27" i="2"/>
  <c r="N29" i="2"/>
  <c r="N30" i="2"/>
  <c r="M94" i="2" l="1"/>
  <c r="E66" i="2"/>
  <c r="N31" i="2"/>
  <c r="N19" i="2"/>
  <c r="L31" i="2"/>
  <c r="K31" i="2"/>
  <c r="J31" i="2"/>
  <c r="I31" i="2"/>
  <c r="H31" i="2"/>
  <c r="G31" i="2"/>
  <c r="F31" i="2"/>
  <c r="E108" i="2" l="1"/>
  <c r="E109" i="2" s="1"/>
  <c r="E104" i="2"/>
  <c r="K19" i="2"/>
  <c r="J19" i="2"/>
  <c r="I19" i="2"/>
  <c r="L19" i="2"/>
  <c r="H19" i="2"/>
  <c r="G19" i="2"/>
  <c r="F19" i="2"/>
  <c r="G79" i="2" l="1"/>
  <c r="D2" i="2"/>
  <c r="E105" i="2" l="1"/>
  <c r="E106" i="2"/>
  <c r="G80" i="2"/>
  <c r="E110" i="2" l="1"/>
  <c r="E102" i="2"/>
</calcChain>
</file>

<file path=xl/sharedStrings.xml><?xml version="1.0" encoding="utf-8"?>
<sst xmlns="http://schemas.openxmlformats.org/spreadsheetml/2006/main" count="3450" uniqueCount="467">
  <si>
    <t>Fiscal Year:</t>
  </si>
  <si>
    <t>CODE</t>
  </si>
  <si>
    <t>ITEM</t>
  </si>
  <si>
    <t>I. PERSONNEL</t>
  </si>
  <si>
    <t>A</t>
  </si>
  <si>
    <t>Regular/Permanent Personnel</t>
  </si>
  <si>
    <t>NO.</t>
  </si>
  <si>
    <t>Name</t>
  </si>
  <si>
    <t>Official Designation</t>
  </si>
  <si>
    <t>Annual Salary</t>
  </si>
  <si>
    <t>Remarks</t>
  </si>
  <si>
    <t>B</t>
  </si>
  <si>
    <t>Description</t>
  </si>
  <si>
    <t>Total Annual Cost</t>
  </si>
  <si>
    <t>Cost per Unit</t>
  </si>
  <si>
    <t>Units</t>
  </si>
  <si>
    <t>IV. DEPRECIATION</t>
  </si>
  <si>
    <t>No.</t>
  </si>
  <si>
    <t>Year Acquired</t>
  </si>
  <si>
    <t>Initial Cost If Purchased or Value of Granted Asset</t>
  </si>
  <si>
    <t>Salvage Value</t>
  </si>
  <si>
    <t>Depreciable Cost</t>
  </si>
  <si>
    <t>Useful Life</t>
  </si>
  <si>
    <t>Number of Assets</t>
  </si>
  <si>
    <t>Annual Depreciation</t>
  </si>
  <si>
    <t>Total Depreciation</t>
  </si>
  <si>
    <t>📋  J-PRISM 3 Financial Data Entry Control Panel</t>
  </si>
  <si>
    <t>Currency:</t>
  </si>
  <si>
    <t>NO</t>
  </si>
  <si>
    <t>SheetID</t>
  </si>
  <si>
    <t>SheetName</t>
  </si>
  <si>
    <t>TemplateType</t>
  </si>
  <si>
    <t>DateCreated</t>
  </si>
  <si>
    <t>TableID</t>
  </si>
  <si>
    <t>TableName</t>
  </si>
  <si>
    <t>TableObjectName</t>
  </si>
  <si>
    <t>RecordID</t>
  </si>
  <si>
    <t>ColumnName</t>
  </si>
  <si>
    <t>Value</t>
  </si>
  <si>
    <t>Timestamp</t>
  </si>
  <si>
    <t>Total</t>
  </si>
  <si>
    <t>Specific Tasks</t>
  </si>
  <si>
    <t>FINANCIAL RESOURCES</t>
  </si>
  <si>
    <t>Unit</t>
  </si>
  <si>
    <t>Rate (FJD/rate payer)</t>
  </si>
  <si>
    <t>Actual Collections for FY (FJD)</t>
  </si>
  <si>
    <t>Contractual Job Personnel</t>
  </si>
  <si>
    <t>PERSONNEL COST</t>
  </si>
  <si>
    <t>NON-CASH</t>
  </si>
  <si>
    <t>CASH</t>
  </si>
  <si>
    <t>II. OPERATING &amp; MAINTENANCE COSTS</t>
  </si>
  <si>
    <t>test</t>
  </si>
  <si>
    <t>Contracted services</t>
  </si>
  <si>
    <t>Fuel, Oil and Lubricants</t>
  </si>
  <si>
    <t>Repairs and Maintenance</t>
  </si>
  <si>
    <t>Supplies and Materials</t>
  </si>
  <si>
    <t>Small Tools and Equipment</t>
  </si>
  <si>
    <t>Semi-Expendable Supplies</t>
  </si>
  <si>
    <t>Office Supplies</t>
  </si>
  <si>
    <t xml:space="preserve">Water </t>
  </si>
  <si>
    <t>Electricity</t>
  </si>
  <si>
    <t>Rentals</t>
  </si>
  <si>
    <t>Insurance</t>
  </si>
  <si>
    <t>Registration of Vehicles</t>
  </si>
  <si>
    <t>Insurance of vehicles</t>
  </si>
  <si>
    <t>Other:</t>
  </si>
  <si>
    <t xml:space="preserve">Subscription </t>
  </si>
  <si>
    <t>Telephone/Communications</t>
  </si>
  <si>
    <t>Training</t>
  </si>
  <si>
    <t>Travel</t>
  </si>
  <si>
    <t>Meetings</t>
  </si>
  <si>
    <t>TMP_ADM</t>
  </si>
  <si>
    <t>DANGER ZONE! DON’T EDIT ANYTHING HERE</t>
  </si>
  <si>
    <t>Benefit/Contribution (1)</t>
  </si>
  <si>
    <t>Benefit/Contribution (2)</t>
  </si>
  <si>
    <t>Benefit/Contribution (3)</t>
  </si>
  <si>
    <t>Benefit/Contribution (5)</t>
  </si>
  <si>
    <t>Other Benefits</t>
  </si>
  <si>
    <t>Estimated % Time Allocation</t>
  </si>
  <si>
    <t>Total Yearly Personnel Expense</t>
  </si>
  <si>
    <t>Benefit/Contribution (4)</t>
  </si>
  <si>
    <t>III. OTHER COSTS</t>
  </si>
  <si>
    <t>O&amp;M COST</t>
  </si>
  <si>
    <t>ADMINISTRATION</t>
  </si>
  <si>
    <t>CATEGORY_</t>
  </si>
  <si>
    <t>_CATEGORY</t>
  </si>
  <si>
    <t>DROPDOWN CATEGORY</t>
  </si>
  <si>
    <t>COLLECTION &amp; TRANSPORT</t>
  </si>
  <si>
    <t>FINAL DISPOSAL</t>
  </si>
  <si>
    <t>PUBLIC AWARENESS</t>
  </si>
  <si>
    <t>MONITORING</t>
  </si>
  <si>
    <t>WASTE PROCESSING</t>
  </si>
  <si>
    <t>ENFORCEMENT</t>
  </si>
  <si>
    <t>COMPOSTING</t>
  </si>
  <si>
    <t>Category</t>
  </si>
  <si>
    <t>Dashboard Title:</t>
  </si>
  <si>
    <t>Label</t>
  </si>
  <si>
    <t>Amount</t>
  </si>
  <si>
    <t>LastUpdated</t>
  </si>
  <si>
    <t>SELECT DASHBOARD ROUTE:</t>
  </si>
  <si>
    <t>CATEGORY_Fuel, Oil and Lubricants</t>
  </si>
  <si>
    <t>Target for FY (FJD)</t>
  </si>
  <si>
    <t>GARBAGE FEE</t>
  </si>
  <si>
    <t>Delegated Area</t>
  </si>
  <si>
    <t>#</t>
  </si>
  <si>
    <t>SALE OF RECYCLEABLE MATERIALS</t>
  </si>
  <si>
    <t>SALE FROM ORGANIC WASTE PROCESSING</t>
  </si>
  <si>
    <t>FINES AND PENALTIES</t>
  </si>
  <si>
    <t xml:space="preserve">TOTAL FINANCIAL RESOURSES FOR FY </t>
  </si>
  <si>
    <t>INTERNALLY GENERATED</t>
  </si>
  <si>
    <t>EXTERNALLY RECEIVED</t>
  </si>
  <si>
    <t>FINANCIAL RESOURCES SUMMARY</t>
  </si>
  <si>
    <t>License of Companies Conducting SWM Activities</t>
  </si>
  <si>
    <t>Total Financial Resources</t>
  </si>
  <si>
    <t>EXTERNALLY GENERATED</t>
  </si>
  <si>
    <t>(OTHERS 1)</t>
  </si>
  <si>
    <t>(OTHERS 2)</t>
  </si>
  <si>
    <t>(OTHERS 3)</t>
  </si>
  <si>
    <t>(OTHERS 4)</t>
  </si>
  <si>
    <t>(OTHERS 5)</t>
  </si>
  <si>
    <t>20260512172655_858</t>
  </si>
  <si>
    <t>Target for FY</t>
  </si>
  <si>
    <t xml:space="preserve">Actual Collections for FY </t>
  </si>
  <si>
    <t>Rate</t>
  </si>
  <si>
    <t>TOTAL REVENUE</t>
  </si>
  <si>
    <t>LANDFILL FEE</t>
  </si>
  <si>
    <t>Column1</t>
  </si>
  <si>
    <t>Column2</t>
  </si>
  <si>
    <t>Type</t>
  </si>
  <si>
    <t>FINANCIAL RESOURCES TABLE</t>
  </si>
  <si>
    <t>tblDBFRsummary</t>
  </si>
  <si>
    <t>INTERNALLY RECEIVED</t>
  </si>
  <si>
    <t>INTERNAL SOURCE</t>
  </si>
  <si>
    <t>EXTERNAL SOURCE</t>
  </si>
  <si>
    <t>OPERATING COSTS</t>
  </si>
  <si>
    <t>CATEGORY_Small Tools and Equipment</t>
  </si>
  <si>
    <t>CATEGORY_Contracted services</t>
  </si>
  <si>
    <t>CATEGORY_Semi-Expendable Supplies</t>
  </si>
  <si>
    <t>CATEGORY_Supplies and Materials</t>
  </si>
  <si>
    <t>CATEGORY_Repairs and Maintenance</t>
  </si>
  <si>
    <t xml:space="preserve">CATEGORY_Water </t>
  </si>
  <si>
    <t>Total (HIDDEN)</t>
  </si>
  <si>
    <t>(HIDDEN)</t>
  </si>
  <si>
    <t>(HIDDEN)2</t>
  </si>
  <si>
    <t xml:space="preserve">TOTAL OF </t>
  </si>
  <si>
    <t>ADMIN COST</t>
  </si>
  <si>
    <t>CATEGORY_Office Supplies</t>
  </si>
  <si>
    <t>Percentage</t>
  </si>
  <si>
    <t>OPEX_COSTS130</t>
  </si>
  <si>
    <t>PERSONNEL_REGULAR134</t>
  </si>
  <si>
    <t>CATEGORY_Rentals</t>
  </si>
  <si>
    <t>CATEGORY_Insurance of vehicles</t>
  </si>
  <si>
    <t>PERCENTAGE</t>
  </si>
  <si>
    <t>TESTER</t>
  </si>
  <si>
    <t>OPEX_COSTS146</t>
  </si>
  <si>
    <t>PERSONNEL_REGULAR150</t>
  </si>
  <si>
    <t>20260514150504_718</t>
  </si>
  <si>
    <t>tblSummaryNonCash</t>
  </si>
  <si>
    <t>OPEX_COSTS154</t>
  </si>
  <si>
    <t>OTHER_COST155</t>
  </si>
  <si>
    <t>DEPRECIATION156</t>
  </si>
  <si>
    <t>PERSONNEL_REGULAR158</t>
  </si>
  <si>
    <t>ADMINI FIJI</t>
  </si>
  <si>
    <t>OPEX_COSTS162</t>
  </si>
  <si>
    <t>PERSONNEL_REGULAR166</t>
  </si>
  <si>
    <t>OPEX_COSTS170</t>
  </si>
  <si>
    <t>PERSONNEL_CONTRACTUAL175</t>
  </si>
  <si>
    <t>COLLECT &amp; TRANSPORT</t>
  </si>
  <si>
    <t>OPEX_COSTS180</t>
  </si>
  <si>
    <t>PERSONNEL_REGULAR184</t>
  </si>
  <si>
    <t>TES</t>
  </si>
  <si>
    <t>OPEX_COSTS188</t>
  </si>
  <si>
    <t>CATEGORY_Travel</t>
  </si>
  <si>
    <t>CATEGORY_Telephone/Communications</t>
  </si>
  <si>
    <t>CATEGORY_Other:</t>
  </si>
  <si>
    <t>OPEX_COSTS196</t>
  </si>
  <si>
    <t>PERSONNEL_REGULAR200</t>
  </si>
  <si>
    <t>Column3</t>
  </si>
  <si>
    <t>ADMIN</t>
  </si>
  <si>
    <t>OPEX_COSTS25</t>
  </si>
  <si>
    <t>DEPRECIATION28</t>
  </si>
  <si>
    <t>PERSONNEL_REGULAR30</t>
  </si>
  <si>
    <t>ADMINISTRATION COST</t>
  </si>
  <si>
    <t>OPEX_COSTS41</t>
  </si>
  <si>
    <t>OTHER_COST42</t>
  </si>
  <si>
    <t>DEPRECIATION43</t>
  </si>
  <si>
    <t>PERSONNEL_REGULAR45</t>
  </si>
  <si>
    <t>COLLECTION SOMETHING</t>
  </si>
  <si>
    <t>OPEX_COSTS49</t>
  </si>
  <si>
    <t>DEPRECIATION51</t>
  </si>
  <si>
    <t>PERSONNEL_REGULAR53</t>
  </si>
  <si>
    <t>final dispo</t>
  </si>
  <si>
    <t>OPEX_COSTS57</t>
  </si>
  <si>
    <t>OTHER_COST58</t>
  </si>
  <si>
    <t>DEPRECIATION59</t>
  </si>
  <si>
    <t>PERSONNEL_REGULAR61</t>
  </si>
  <si>
    <t>PUBLIC AWRENESS</t>
  </si>
  <si>
    <t>OPEX_COSTS65</t>
  </si>
  <si>
    <t>TOTAL</t>
  </si>
  <si>
    <t>composting test to be dleted</t>
  </si>
  <si>
    <t>OPEX_COSTS74</t>
  </si>
  <si>
    <t xml:space="preserve">CATEGORY_Subscription </t>
  </si>
  <si>
    <t>OPEX_COSTS82</t>
  </si>
  <si>
    <t>CATEGORY_Insurance</t>
  </si>
  <si>
    <t>CATEGORY_Training</t>
  </si>
  <si>
    <t>teat</t>
  </si>
  <si>
    <t>OPEX_COSTS92</t>
  </si>
  <si>
    <t>CATEGORY_Registration of Vehicles</t>
  </si>
  <si>
    <t>AMOUNT</t>
  </si>
  <si>
    <t>PER ACTIVITY</t>
  </si>
  <si>
    <t>amount</t>
  </si>
  <si>
    <t>DANGER ZONE</t>
  </si>
  <si>
    <t>Personnel</t>
  </si>
  <si>
    <t>Operations &amp; Maintenance</t>
  </si>
  <si>
    <t>Depreciation</t>
  </si>
  <si>
    <t>TOTAL EXPENSE</t>
  </si>
  <si>
    <t>NON CASH</t>
  </si>
  <si>
    <t>PER ITEM</t>
  </si>
  <si>
    <t xml:space="preserve">  TOTAL   </t>
  </si>
  <si>
    <t>CASH TOTAL</t>
  </si>
  <si>
    <t>TOTAL CASH EXCESS/SUBSIDY</t>
  </si>
  <si>
    <t>SUMMARY</t>
  </si>
  <si>
    <t>OPEX_COSTS127</t>
  </si>
  <si>
    <t>PERSONNEL_REGULAR132</t>
  </si>
  <si>
    <t>est</t>
  </si>
  <si>
    <t>OPEX_COSTS136</t>
  </si>
  <si>
    <t>OPEX_COSTS144</t>
  </si>
  <si>
    <t>PERSONNEL_REGULAR148</t>
  </si>
  <si>
    <t>testasasd</t>
  </si>
  <si>
    <t>OPEX_COSTS152</t>
  </si>
  <si>
    <t>PERSONNEL_REGULAR156</t>
  </si>
  <si>
    <t>rawr</t>
  </si>
  <si>
    <t>OPEX_COSTS160</t>
  </si>
  <si>
    <t>DEPRECIATION162</t>
  </si>
  <si>
    <t>Unit Cost Derivation</t>
  </si>
  <si>
    <t>Variable</t>
  </si>
  <si>
    <t>Total Household Population</t>
  </si>
  <si>
    <t>Total Population</t>
  </si>
  <si>
    <t>FISCAL YEAR:</t>
  </si>
  <si>
    <t>CURRENCY:</t>
  </si>
  <si>
    <t>Total Bins</t>
  </si>
  <si>
    <t>FJD</t>
  </si>
  <si>
    <t>admin cost</t>
  </si>
  <si>
    <t>OPEX_COSTS169</t>
  </si>
  <si>
    <t>collection and trans</t>
  </si>
  <si>
    <t>OPEX_COSTS177</t>
  </si>
  <si>
    <t>tons</t>
  </si>
  <si>
    <t>3R</t>
  </si>
  <si>
    <t>OPEX_COSTS185</t>
  </si>
  <si>
    <t>IFERROR(INDEX(tblDashInternalFR[[#All],[INTERNAL SOURCE]],ROW(A2)),"")</t>
  </si>
  <si>
    <t>IFERROR(INDEX(tblDashInternalFR[[#All],[PERCENTAGE]],ROW(A2)),"")</t>
  </si>
  <si>
    <t>IFERROR(INDEX(tblDashExternalFR[EXTERNAL SOURCE],ROW(A1)),"")</t>
  </si>
  <si>
    <t>IFERROR(INDEX(tblDashExternalFR[percentage],ROW(A1!)),"")</t>
  </si>
  <si>
    <t>SALE FROM IN-SITU RECYCLING</t>
  </si>
  <si>
    <t>OPEX_COSTS24</t>
  </si>
  <si>
    <t>PERSONNEL_CONTRACTUAL30</t>
  </si>
  <si>
    <t>IF(AND(INDEX(tblActivity[label (hidden)],ROW(A1))&lt;&gt;"",INDEX(tblActivity[PER ACTIVITY],ROW(A1))=""),INDEX(tblActivity[label (hidden)],ROW(A1)),"")</t>
  </si>
  <si>
    <t>label</t>
  </si>
  <si>
    <t>TESS</t>
  </si>
  <si>
    <t>OPEX_COSTS40</t>
  </si>
  <si>
    <t>CATEGORY_Electricity</t>
  </si>
  <si>
    <t>ASDAS</t>
  </si>
  <si>
    <t>OPEX_COSTS48</t>
  </si>
  <si>
    <t>TAET</t>
  </si>
  <si>
    <t>OPEX_COSTS56</t>
  </si>
  <si>
    <t>teas</t>
  </si>
  <si>
    <t>OPEX_COSTS64</t>
  </si>
  <si>
    <t>Item</t>
  </si>
  <si>
    <t>NEWETA</t>
  </si>
  <si>
    <t>OPEX_COSTS73</t>
  </si>
  <si>
    <t>TESAT</t>
  </si>
  <si>
    <t>ASD</t>
  </si>
  <si>
    <t>TET</t>
  </si>
  <si>
    <t>DEBT_SERVICING67</t>
  </si>
  <si>
    <t>tblSummaryCash71</t>
  </si>
  <si>
    <t>/TON</t>
  </si>
  <si>
    <t>Excess(Shortfall)/ton</t>
  </si>
  <si>
    <t>CATEGORY_146354</t>
  </si>
  <si>
    <t>20260525113642_861</t>
  </si>
  <si>
    <t>TEST</t>
  </si>
  <si>
    <t>DEPRECIATION27</t>
  </si>
  <si>
    <t>PERSONNEL_REGULAR29</t>
  </si>
  <si>
    <t>ACE</t>
  </si>
  <si>
    <t>CATEGORY_ACE</t>
  </si>
  <si>
    <t>MARCO</t>
  </si>
  <si>
    <t>CATEGORY_MARCO</t>
  </si>
  <si>
    <t>NEPTUNO</t>
  </si>
  <si>
    <t>CATEGORY_NEPTUNO</t>
  </si>
  <si>
    <t>C&amp;T</t>
  </si>
  <si>
    <t>DEPRECIATION42</t>
  </si>
  <si>
    <t>PERSONNEL_REGULAR44</t>
  </si>
  <si>
    <t>PERSONNEL_CONTRACTUAL45</t>
  </si>
  <si>
    <t>GEORGE</t>
  </si>
  <si>
    <t>CATEGORY_GEORGE</t>
  </si>
  <si>
    <t>WILL</t>
  </si>
  <si>
    <t>CATEGORY_WILL</t>
  </si>
  <si>
    <t>final disposal</t>
  </si>
  <si>
    <t>DEPRECIATION50</t>
  </si>
  <si>
    <t>PERSONNEL_REGULAR52</t>
  </si>
  <si>
    <t>PERSONNEL_CONTRACTUAL53</t>
  </si>
  <si>
    <t>Service Area</t>
  </si>
  <si>
    <t>Accounts</t>
  </si>
  <si>
    <t>testt</t>
  </si>
  <si>
    <t>System Configuration Panel</t>
  </si>
  <si>
    <t>Sheet Routing Manager</t>
  </si>
  <si>
    <t>no</t>
  </si>
  <si>
    <r>
      <t>Manage fiscal year, currency settings, dashboard titles, and sheet generation.</t>
    </r>
    <r>
      <rPr>
        <sz val="12"/>
        <color theme="7"/>
        <rFont val="Calibri"/>
        <family val="2"/>
        <scheme val="minor"/>
      </rPr>
      <t xml:space="preserve"> </t>
    </r>
    <r>
      <rPr>
        <i/>
        <sz val="12"/>
        <color theme="1" tint="4.9989318521683403E-2"/>
        <rFont val="Calibri"/>
        <family val="2"/>
        <scheme val="minor"/>
      </rPr>
      <t>(inputs are editable)</t>
    </r>
  </si>
  <si>
    <r>
      <t xml:space="preserve">Manage operating sheet linkage and dashboard synchronization. </t>
    </r>
    <r>
      <rPr>
        <i/>
        <sz val="12"/>
        <color theme="1"/>
        <rFont val="Calibri"/>
        <family val="2"/>
        <scheme val="minor"/>
      </rPr>
      <t>(inputs can be added and deleted)</t>
    </r>
  </si>
  <si>
    <t>Unit Cost Derivation Routing Manager</t>
  </si>
  <si>
    <t>Manage unit cost worksheet routing and dashboard integration.</t>
  </si>
  <si>
    <t>OPEX_COSTS78</t>
  </si>
  <si>
    <t>PERSONNEL_CONTRACTUAL82</t>
  </si>
  <si>
    <t>Received and Raised  Serviced:</t>
  </si>
  <si>
    <t>Spent  Serviced:</t>
  </si>
  <si>
    <t>BASIC FINANCIAL PERFORMANCE INDICATORS</t>
  </si>
  <si>
    <t>OPEX_COSTS93</t>
  </si>
  <si>
    <t>OPEX_COSTS7</t>
  </si>
  <si>
    <t>FINANCIAL PERFORMANCE INDICATORS SWM SECTOR</t>
  </si>
  <si>
    <t>SAMPLE CREATED SHEET</t>
  </si>
  <si>
    <t>OPEX_COSTS44</t>
  </si>
  <si>
    <t>SAMPLE CREATED SHEET 2</t>
  </si>
  <si>
    <t>OPEX_COSTS51</t>
  </si>
  <si>
    <t>OPEX_COSTS58</t>
  </si>
  <si>
    <t>PERSONNEL_REGULAR27</t>
  </si>
  <si>
    <t>test3</t>
  </si>
  <si>
    <t>OPEX_COSTS31</t>
  </si>
  <si>
    <t>test34</t>
  </si>
  <si>
    <t>OPEX_COSTS45</t>
  </si>
  <si>
    <t>TEST ROUTE</t>
  </si>
  <si>
    <t>new mf</t>
  </si>
  <si>
    <t>Unit Costs</t>
  </si>
  <si>
    <t>ha</t>
  </si>
  <si>
    <t>Waste Generation per Capita per Day</t>
  </si>
  <si>
    <t>kg</t>
  </si>
  <si>
    <t>Town Boundary</t>
  </si>
  <si>
    <t>Total Domestic Waste Generation</t>
  </si>
  <si>
    <t>Total Service Area</t>
  </si>
  <si>
    <t>Population Density</t>
  </si>
  <si>
    <t>no/ha</t>
  </si>
  <si>
    <t>Waste Collected and Transported</t>
  </si>
  <si>
    <t>General Waste</t>
  </si>
  <si>
    <t>Green Waste</t>
  </si>
  <si>
    <t>Others</t>
  </si>
  <si>
    <t>Non-Domestic Waste Generators</t>
  </si>
  <si>
    <t xml:space="preserve"> Hotels and other Accommodations</t>
  </si>
  <si>
    <t xml:space="preserve">Restaurants </t>
  </si>
  <si>
    <t>Shops and Supermarkets</t>
  </si>
  <si>
    <t>Private Offices</t>
  </si>
  <si>
    <t>Institutions</t>
  </si>
  <si>
    <t>Total Compost Processed</t>
  </si>
  <si>
    <t>Total Recyclables Collected</t>
  </si>
  <si>
    <t>Total Illegal Dumpsites</t>
  </si>
  <si>
    <t>Number of Informal Settlements</t>
  </si>
  <si>
    <t>no.</t>
  </si>
  <si>
    <t>Delegated Boundary</t>
  </si>
  <si>
    <t>Total service area</t>
  </si>
  <si>
    <t>LEGEND</t>
  </si>
  <si>
    <t>CALUCALTION, SHOULD NOT BE TAMPERED</t>
  </si>
  <si>
    <t>INPUT, EDITABLE</t>
  </si>
  <si>
    <t>OPEX_COSTS81</t>
  </si>
  <si>
    <t>TOTAL POPULATION TOWN AND DELEGATED</t>
  </si>
  <si>
    <t>public awareness</t>
  </si>
  <si>
    <t>OPEX_COSTS96</t>
  </si>
  <si>
    <t>DEPRECIATION</t>
  </si>
  <si>
    <t>Exceeded useful life</t>
  </si>
  <si>
    <t>OTHERS</t>
  </si>
  <si>
    <t>More Settings used in the workbook</t>
  </si>
  <si>
    <t>YES</t>
  </si>
  <si>
    <t>TOTAL WASTE GENERATED: TOWN AND DELEGATED</t>
  </si>
  <si>
    <t>NOTES: Pls check the spellings; remove row shades except for Town Boundary and Delegated Area</t>
  </si>
  <si>
    <t>C&amp;T: Town Boundary</t>
  </si>
  <si>
    <t>Collection and Transport Town B</t>
  </si>
  <si>
    <t>TBL-20260601131835-706</t>
  </si>
  <si>
    <t>TBL-20260601131835-533</t>
  </si>
  <si>
    <t>OTHER_COST24</t>
  </si>
  <si>
    <t>TBL-20260601131835-580</t>
  </si>
  <si>
    <t>DEPRECIATION25</t>
  </si>
  <si>
    <t>TBL-20260601131835-290</t>
  </si>
  <si>
    <t>TBL-20260601131835-302</t>
  </si>
  <si>
    <t>PERSONNEL_CONTRACTUAL28</t>
  </si>
  <si>
    <t>TBL-20260601131835-775</t>
  </si>
  <si>
    <t>tblSummaryCash29</t>
  </si>
  <si>
    <t>TBL-20260601131835-014</t>
  </si>
  <si>
    <t>tblSummaryNonCash30</t>
  </si>
  <si>
    <t>2023-2024</t>
  </si>
  <si>
    <t>Disposal</t>
  </si>
  <si>
    <t>TBL-20260601132429-761</t>
  </si>
  <si>
    <t>TBL-20260601132429-814</t>
  </si>
  <si>
    <t>OTHER_COST39</t>
  </si>
  <si>
    <t>TBL-20260601132429-709</t>
  </si>
  <si>
    <t>DEPRECIATION40</t>
  </si>
  <si>
    <t>TBL-20260601132429-045</t>
  </si>
  <si>
    <t>PERSONNEL_REGULAR41</t>
  </si>
  <si>
    <t>TBL-20260601132429-414</t>
  </si>
  <si>
    <t>PERSONNEL_CONTRACTUAL42</t>
  </si>
  <si>
    <t>TBL-20260601132429-863</t>
  </si>
  <si>
    <t>tblSummaryCash43</t>
  </si>
  <si>
    <t>TBL-20260601132429-790</t>
  </si>
  <si>
    <t>tblSummaryNonCash44</t>
  </si>
  <si>
    <t>Public Awareness</t>
  </si>
  <si>
    <t>TBL-20260601132613-374</t>
  </si>
  <si>
    <t>TBL-20260601132613-962</t>
  </si>
  <si>
    <t>OTHER_COST46</t>
  </si>
  <si>
    <t>TBL-20260601132613-871</t>
  </si>
  <si>
    <t>DEPRECIATION47</t>
  </si>
  <si>
    <t>TBL-20260601132613-056</t>
  </si>
  <si>
    <t>PERSONNEL_REGULAR48</t>
  </si>
  <si>
    <t>TBL-20260601132613-950</t>
  </si>
  <si>
    <t>PERSONNEL_CONTRACTUAL49</t>
  </si>
  <si>
    <t>TBL-20260601132613-364</t>
  </si>
  <si>
    <t>tblSummaryCash50</t>
  </si>
  <si>
    <t>TBL-20260601132613-525</t>
  </si>
  <si>
    <t>tblSummaryNonCash51</t>
  </si>
  <si>
    <t>Administration</t>
  </si>
  <si>
    <t>TBL-20260601132755-767</t>
  </si>
  <si>
    <t>OPEX_COSTS52</t>
  </si>
  <si>
    <t>TBL-20260601132755-054</t>
  </si>
  <si>
    <t>OTHER_COST53</t>
  </si>
  <si>
    <t>TBL-20260601132755-592</t>
  </si>
  <si>
    <t>DEPRECIATION54</t>
  </si>
  <si>
    <t>TBL-20260601132755-469</t>
  </si>
  <si>
    <t>PERSONNEL_REGULAR55</t>
  </si>
  <si>
    <t>TBL-20260601132755-298</t>
  </si>
  <si>
    <t>PERSONNEL_CONTRACTUAL56</t>
  </si>
  <si>
    <t>TBL-20260601132755-623</t>
  </si>
  <si>
    <t>tblSummaryCash57</t>
  </si>
  <si>
    <t>TBL-20260601132755-648</t>
  </si>
  <si>
    <t>tblSummaryNonCash58</t>
  </si>
  <si>
    <t>FINRES</t>
  </si>
  <si>
    <t>INTERNAL</t>
  </si>
  <si>
    <t>MoLG</t>
  </si>
  <si>
    <t>EXTERNAL</t>
  </si>
  <si>
    <t>TOTAL CASH SUBSIDY (INTERNAL)</t>
  </si>
  <si>
    <t>Collection and Transport: Delegated</t>
  </si>
  <si>
    <t>C&amp;T: Delegated</t>
  </si>
  <si>
    <t>C&amp;T Delegated</t>
  </si>
  <si>
    <t>TBL-20260601133837-264</t>
  </si>
  <si>
    <t>OPEX_COSTS59</t>
  </si>
  <si>
    <t>TBL-20260601133837-279</t>
  </si>
  <si>
    <t>OTHER_COST60</t>
  </si>
  <si>
    <t>TBL-20260601133837-830</t>
  </si>
  <si>
    <t>DEPRECIATION61</t>
  </si>
  <si>
    <t>TBL-20260601133837-825</t>
  </si>
  <si>
    <t>PERSONNEL_REGULAR62</t>
  </si>
  <si>
    <t>TBL-20260601133837-589</t>
  </si>
  <si>
    <t>PERSONNEL_CONTRACTUAL63</t>
  </si>
  <si>
    <t>TBL-20260601133837-986</t>
  </si>
  <si>
    <t>tblSummaryCash64</t>
  </si>
  <si>
    <t>TBL-20260601133837-911</t>
  </si>
  <si>
    <t>tblSummaryNonCash65</t>
  </si>
  <si>
    <t>COLLECTION AND TRANSPORT: DELEGATED</t>
  </si>
  <si>
    <t>Collection and Transportation: Town Boundary</t>
  </si>
  <si>
    <t>Final Disposal: Town Boundary</t>
  </si>
  <si>
    <t>Waste Disposed at Landfill</t>
  </si>
  <si>
    <t>Total revenue from Landfill fee/total waste disposed at landfill (town boundary)</t>
  </si>
  <si>
    <t>Total Cost of Final Disposal/total waste disposed at landfill (town boundary)</t>
  </si>
  <si>
    <t xml:space="preserve">Total Cost of Waste Collection and Transport (town boundary)/Total Waste Transported and Collected </t>
  </si>
  <si>
    <t>TOTAL COST of SWM/TOTAL AREA of TOWN</t>
  </si>
  <si>
    <t>Total Service Area Coverage (ha)</t>
  </si>
  <si>
    <t>Service Coverage (All Zones)</t>
  </si>
  <si>
    <t>FJD/ton</t>
  </si>
  <si>
    <t>FJD/ha</t>
  </si>
  <si>
    <t>FJD/capita</t>
  </si>
  <si>
    <t>Cost of Public Awareness/Total Population</t>
  </si>
  <si>
    <t>Waste Collection &amp; Transportation: Town Boundary</t>
  </si>
  <si>
    <t>Waste Disposal: Town Boundary</t>
  </si>
  <si>
    <t>Awareness Raising Campaigns (All Zones)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</si>
</sst>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0"/>
      <name val="Calibri"/>
      <family val="2"/>
    </font>
    <font>
      <b/>
      <sz val="11"/>
      <color rgb="FF9C57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</font>
    <font>
      <b/>
      <sz val="10"/>
      <color theme="0"/>
      <name val="Calibri"/>
      <family val="2"/>
    </font>
    <font>
      <b/>
      <sz val="11"/>
      <color theme="1"/>
      <name val="Calibri"/>
      <family val="2"/>
    </font>
    <font>
      <sz val="11"/>
      <color rgb="FF0061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9C0006"/>
      <name val="Calibri"/>
      <family val="2"/>
    </font>
    <font>
      <b/>
      <sz val="24"/>
      <color theme="0"/>
      <name val="Calibri"/>
      <family val="2"/>
    </font>
    <font>
      <b/>
      <sz val="11"/>
      <color theme="0"/>
      <name val="Calibri"/>
      <family val="2"/>
    </font>
    <font>
      <sz val="10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theme="0"/>
      <name val="Calibri"/>
      <family val="2"/>
    </font>
    <font>
      <sz val="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theme="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orbel"/>
      <family val="2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20"/>
      <color theme="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Corbel"/>
      <family val="2"/>
    </font>
    <font>
      <sz val="12"/>
      <name val="Corbel"/>
      <family val="2"/>
    </font>
    <font>
      <b/>
      <sz val="12"/>
      <color theme="0"/>
      <name val="Corbel"/>
      <family val="2"/>
    </font>
    <font>
      <b/>
      <sz val="12"/>
      <name val="Corbel"/>
      <family val="2"/>
    </font>
    <font>
      <sz val="12"/>
      <color theme="1"/>
      <name val="Corbel"/>
      <family val="2"/>
    </font>
    <font>
      <sz val="14"/>
      <color theme="1"/>
      <name val="Calibri"/>
      <family val="2"/>
    </font>
    <font>
      <b/>
      <sz val="14"/>
      <color rgb="FF000080"/>
      <name val="Calibri"/>
      <family val="2"/>
    </font>
    <font>
      <b/>
      <sz val="24"/>
      <color theme="0"/>
      <name val="Corbel"/>
      <family val="2"/>
    </font>
    <font>
      <sz val="12"/>
      <color theme="0" tint="-0.499984740745262"/>
      <name val="Corbel"/>
      <family val="2"/>
    </font>
    <font>
      <b/>
      <sz val="12"/>
      <color theme="0" tint="-0.499984740745262"/>
      <name val="Corbel"/>
      <family val="2"/>
    </font>
    <font>
      <sz val="12"/>
      <color rgb="FF9C0006"/>
      <name val="Calibri"/>
      <family val="2"/>
      <scheme val="minor"/>
    </font>
    <font>
      <b/>
      <sz val="18"/>
      <color theme="0"/>
      <name val="Corbel"/>
      <family val="2"/>
    </font>
    <font>
      <sz val="11"/>
      <name val="Corbel"/>
      <family val="2"/>
    </font>
    <font>
      <sz val="16"/>
      <color theme="0"/>
      <name val="Corbel"/>
      <family val="2"/>
    </font>
    <font>
      <b/>
      <sz val="12"/>
      <color theme="4"/>
      <name val="Corbel"/>
      <family val="2"/>
    </font>
    <font>
      <b/>
      <sz val="12"/>
      <color theme="9" tint="-0.249977111117893"/>
      <name val="Corbel"/>
      <family val="2"/>
    </font>
    <font>
      <b/>
      <sz val="20"/>
      <color rgb="FF000000"/>
      <name val="Calibri"/>
      <family val="2"/>
    </font>
    <font>
      <b/>
      <sz val="16"/>
      <color theme="0"/>
      <name val="Corbel"/>
      <family val="2"/>
    </font>
    <font>
      <b/>
      <sz val="13"/>
      <color theme="0"/>
      <name val="Corbel"/>
      <family val="2"/>
    </font>
    <font>
      <sz val="13"/>
      <color theme="0"/>
      <name val="Corbel"/>
      <family val="2"/>
    </font>
    <font>
      <b/>
      <sz val="12"/>
      <color rgb="FF000000"/>
      <name val="Corbel"/>
      <family val="2"/>
    </font>
    <font>
      <b/>
      <sz val="12"/>
      <color rgb="FFFF0000"/>
      <name val="Corbel"/>
      <family val="2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rgb="FFFFFFFF"/>
      <name val="Calibri"/>
      <family val="2"/>
    </font>
    <font>
      <i/>
      <sz val="12"/>
      <color theme="1"/>
      <name val="Calibri"/>
      <family val="2"/>
      <scheme val="minor"/>
    </font>
    <font>
      <sz val="12"/>
      <color theme="7"/>
      <name val="Calibri"/>
      <family val="2"/>
      <scheme val="minor"/>
    </font>
    <font>
      <i/>
      <sz val="12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27447"/>
        <bgColor indexed="64"/>
      </patternFill>
    </fill>
    <fill>
      <patternFill patternType="solid">
        <fgColor theme="9" tint="-0.499984740745262"/>
        <bgColor theme="9" tint="0.79998168889431442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39997558519241921"/>
        <bgColor theme="9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222B3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ck">
        <color rgb="FF227447"/>
      </left>
      <right/>
      <top style="thick">
        <color rgb="FF227447"/>
      </top>
      <bottom style="thick">
        <color rgb="FF227447"/>
      </bottom>
      <diagonal/>
    </border>
    <border>
      <left/>
      <right style="thick">
        <color rgb="FF227447"/>
      </right>
      <top style="thick">
        <color rgb="FF227447"/>
      </top>
      <bottom style="thick">
        <color rgb="FF227447"/>
      </bottom>
      <diagonal/>
    </border>
    <border>
      <left/>
      <right style="thin">
        <color theme="4" tint="0.39997558519241921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double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5">
    <xf numFmtId="0" fontId="0" fillId="0" borderId="0"/>
    <xf numFmtId="0" fontId="4" fillId="5" borderId="0" applyNumberFormat="0" applyBorder="0" applyAlignment="0" applyProtection="0"/>
    <xf numFmtId="0" fontId="5" fillId="6" borderId="7" applyNumberFormat="0" applyAlignment="0" applyProtection="0"/>
    <xf numFmtId="0" fontId="6" fillId="7" borderId="8" applyNumberFormat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3" borderId="0" applyNumberFormat="0" applyBorder="0" applyAlignment="0" applyProtection="0"/>
    <xf numFmtId="0" fontId="12" fillId="14" borderId="0" applyNumberFormat="0" applyBorder="0" applyAlignment="0" applyProtection="0"/>
    <xf numFmtId="0" fontId="1" fillId="15" borderId="0" applyNumberFormat="0" applyBorder="0" applyAlignment="0" applyProtection="0"/>
    <xf numFmtId="0" fontId="1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3" borderId="0" applyNumberFormat="0" applyBorder="0" applyAlignment="0" applyProtection="0"/>
    <xf numFmtId="9" fontId="1" fillId="0" borderId="0" applyFont="0" applyFill="0" applyBorder="0" applyAlignment="0" applyProtection="0"/>
    <xf numFmtId="0" fontId="12" fillId="25" borderId="0" applyNumberFormat="0" applyBorder="0" applyAlignment="0" applyProtection="0"/>
    <xf numFmtId="43" fontId="1" fillId="0" borderId="0" applyFont="0" applyFill="0" applyBorder="0" applyAlignment="0" applyProtection="0"/>
  </cellStyleXfs>
  <cellXfs count="311">
    <xf numFmtId="0" fontId="0" fillId="0" borderId="0" xfId="0"/>
    <xf numFmtId="0" fontId="0" fillId="0" borderId="0" xfId="0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8" fillId="5" borderId="0" xfId="1" applyFont="1" applyAlignment="1">
      <alignment vertical="center" wrapText="1"/>
    </xf>
    <xf numFmtId="0" fontId="9" fillId="6" borderId="7" xfId="2" applyFont="1" applyAlignment="1"/>
    <xf numFmtId="0" fontId="4" fillId="5" borderId="0" xfId="1"/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 wrapText="1"/>
    </xf>
    <xf numFmtId="0" fontId="12" fillId="12" borderId="0" xfId="5" applyAlignment="1">
      <alignment horizontal="center" vertical="center" wrapText="1"/>
    </xf>
    <xf numFmtId="0" fontId="12" fillId="12" borderId="0" xfId="5" applyAlignment="1">
      <alignment vertical="center" wrapText="1"/>
    </xf>
    <xf numFmtId="0" fontId="7" fillId="0" borderId="0" xfId="0" applyFont="1" applyAlignment="1">
      <alignment wrapText="1"/>
    </xf>
    <xf numFmtId="0" fontId="6" fillId="16" borderId="1" xfId="9" applyFont="1" applyBorder="1" applyAlignment="1">
      <alignment horizontal="center" vertic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7" fillId="0" borderId="0" xfId="0" applyFont="1" applyAlignment="1">
      <alignment horizontal="center" vertical="center" wrapText="1"/>
    </xf>
    <xf numFmtId="22" fontId="7" fillId="0" borderId="0" xfId="0" applyNumberFormat="1" applyFont="1" applyAlignment="1">
      <alignment wrapText="1"/>
    </xf>
    <xf numFmtId="43" fontId="25" fillId="9" borderId="9" xfId="0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wrapText="1"/>
    </xf>
    <xf numFmtId="43" fontId="12" fillId="12" borderId="0" xfId="5" applyNumberFormat="1" applyAlignment="1">
      <alignment horizontal="center" vertical="center" wrapText="1"/>
    </xf>
    <xf numFmtId="43" fontId="0" fillId="0" borderId="0" xfId="0" applyNumberFormat="1"/>
    <xf numFmtId="43" fontId="7" fillId="0" borderId="0" xfId="0" applyNumberFormat="1" applyFont="1"/>
    <xf numFmtId="43" fontId="22" fillId="0" borderId="0" xfId="0" applyNumberFormat="1" applyFont="1" applyAlignment="1">
      <alignment horizontal="center" vertical="center"/>
    </xf>
    <xf numFmtId="43" fontId="12" fillId="25" borderId="25" xfId="13" applyNumberFormat="1" applyBorder="1" applyAlignment="1">
      <alignment horizontal="center" vertical="center"/>
    </xf>
    <xf numFmtId="43" fontId="12" fillId="25" borderId="25" xfId="13" applyNumberFormat="1" applyBorder="1" applyAlignment="1">
      <alignment horizontal="center" vertical="center" wrapText="1"/>
    </xf>
    <xf numFmtId="43" fontId="22" fillId="4" borderId="0" xfId="0" applyNumberFormat="1" applyFont="1" applyFill="1" applyAlignment="1">
      <alignment wrapText="1"/>
    </xf>
    <xf numFmtId="43" fontId="14" fillId="4" borderId="0" xfId="0" applyNumberFormat="1" applyFont="1" applyFill="1" applyAlignment="1">
      <alignment vertical="center" wrapText="1"/>
    </xf>
    <xf numFmtId="43" fontId="0" fillId="4" borderId="0" xfId="0" applyNumberFormat="1" applyFill="1" applyAlignment="1">
      <alignment wrapText="1"/>
    </xf>
    <xf numFmtId="0" fontId="6" fillId="27" borderId="26" xfId="0" applyFont="1" applyFill="1" applyBorder="1" applyAlignment="1">
      <alignment horizontal="center" vertical="center" wrapText="1"/>
    </xf>
    <xf numFmtId="0" fontId="6" fillId="27" borderId="27" xfId="0" applyFont="1" applyFill="1" applyBorder="1" applyAlignment="1">
      <alignment horizontal="center" vertical="center" wrapText="1"/>
    </xf>
    <xf numFmtId="43" fontId="6" fillId="21" borderId="0" xfId="0" applyNumberFormat="1" applyFont="1" applyFill="1" applyAlignment="1">
      <alignment wrapText="1"/>
    </xf>
    <xf numFmtId="43" fontId="12" fillId="30" borderId="0" xfId="0" applyNumberFormat="1" applyFont="1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43" fontId="12" fillId="32" borderId="0" xfId="0" applyNumberFormat="1" applyFont="1" applyFill="1" applyAlignment="1">
      <alignment wrapText="1"/>
    </xf>
    <xf numFmtId="43" fontId="43" fillId="28" borderId="0" xfId="0" applyNumberFormat="1" applyFont="1" applyFill="1" applyAlignment="1">
      <alignment vertical="center" wrapText="1"/>
    </xf>
    <xf numFmtId="43" fontId="43" fillId="2" borderId="0" xfId="0" applyNumberFormat="1" applyFont="1" applyFill="1" applyAlignment="1">
      <alignment vertical="center" wrapText="1"/>
    </xf>
    <xf numFmtId="43" fontId="0" fillId="2" borderId="0" xfId="0" applyNumberFormat="1" applyFill="1"/>
    <xf numFmtId="43" fontId="0" fillId="2" borderId="0" xfId="0" applyNumberFormat="1" applyFill="1" applyAlignment="1">
      <alignment wrapText="1"/>
    </xf>
    <xf numFmtId="43" fontId="0" fillId="31" borderId="0" xfId="0" applyNumberFormat="1" applyFill="1" applyAlignment="1">
      <alignment wrapText="1"/>
    </xf>
    <xf numFmtId="43" fontId="27" fillId="10" borderId="30" xfId="0" applyNumberFormat="1" applyFont="1" applyFill="1" applyBorder="1" applyAlignment="1">
      <alignment vertical="center"/>
    </xf>
    <xf numFmtId="43" fontId="26" fillId="0" borderId="0" xfId="0" applyNumberFormat="1" applyFont="1" applyAlignment="1">
      <alignment vertical="center"/>
    </xf>
    <xf numFmtId="43" fontId="14" fillId="3" borderId="0" xfId="0" applyNumberFormat="1" applyFont="1" applyFill="1" applyAlignment="1">
      <alignment vertical="center"/>
    </xf>
    <xf numFmtId="43" fontId="27" fillId="2" borderId="22" xfId="0" applyNumberFormat="1" applyFont="1" applyFill="1" applyBorder="1" applyAlignment="1">
      <alignment vertical="center"/>
    </xf>
    <xf numFmtId="43" fontId="14" fillId="18" borderId="0" xfId="0" applyNumberFormat="1" applyFont="1" applyFill="1" applyAlignment="1">
      <alignment vertical="center"/>
    </xf>
    <xf numFmtId="43" fontId="17" fillId="19" borderId="0" xfId="0" applyNumberFormat="1" applyFont="1" applyFill="1" applyAlignment="1">
      <alignment vertical="center"/>
    </xf>
    <xf numFmtId="43" fontId="18" fillId="19" borderId="0" xfId="0" applyNumberFormat="1" applyFont="1" applyFill="1" applyAlignment="1">
      <alignment vertical="center"/>
    </xf>
    <xf numFmtId="43" fontId="18" fillId="22" borderId="0" xfId="8" applyNumberFormat="1" applyFont="1" applyFill="1" applyBorder="1" applyAlignment="1">
      <alignment horizontal="center" vertical="center"/>
    </xf>
    <xf numFmtId="43" fontId="20" fillId="18" borderId="0" xfId="1" applyNumberFormat="1" applyFont="1" applyFill="1" applyBorder="1"/>
    <xf numFmtId="43" fontId="21" fillId="18" borderId="0" xfId="7" applyNumberFormat="1" applyFont="1" applyFill="1" applyBorder="1" applyAlignment="1">
      <alignment vertical="center"/>
    </xf>
    <xf numFmtId="43" fontId="22" fillId="18" borderId="0" xfId="0" applyNumberFormat="1" applyFont="1" applyFill="1"/>
    <xf numFmtId="43" fontId="11" fillId="11" borderId="0" xfId="4" applyNumberFormat="1" applyBorder="1" applyAlignment="1">
      <alignment horizontal="center" vertical="center" wrapText="1"/>
    </xf>
    <xf numFmtId="43" fontId="24" fillId="18" borderId="0" xfId="0" applyNumberFormat="1" applyFont="1" applyFill="1" applyAlignment="1">
      <alignment horizontal="center" vertical="center"/>
    </xf>
    <xf numFmtId="43" fontId="30" fillId="20" borderId="0" xfId="3" applyNumberFormat="1" applyFont="1" applyFill="1" applyBorder="1" applyAlignment="1">
      <alignment horizontal="center" vertical="center"/>
    </xf>
    <xf numFmtId="43" fontId="20" fillId="18" borderId="0" xfId="1" applyNumberFormat="1" applyFont="1" applyFill="1" applyBorder="1" applyAlignment="1">
      <alignment vertical="center"/>
    </xf>
    <xf numFmtId="43" fontId="38" fillId="18" borderId="0" xfId="0" applyNumberFormat="1" applyFont="1" applyFill="1" applyAlignment="1">
      <alignment horizontal="center" vertical="center" wrapText="1"/>
    </xf>
    <xf numFmtId="43" fontId="11" fillId="18" borderId="6" xfId="4" applyNumberFormat="1" applyFill="1" applyBorder="1" applyAlignment="1">
      <alignment horizontal="center" vertical="center"/>
    </xf>
    <xf numFmtId="43" fontId="14" fillId="0" borderId="0" xfId="0" applyNumberFormat="1" applyFont="1" applyAlignment="1">
      <alignment vertical="center"/>
    </xf>
    <xf numFmtId="43" fontId="18" fillId="0" borderId="0" xfId="0" applyNumberFormat="1" applyFont="1" applyAlignment="1">
      <alignment vertical="center"/>
    </xf>
    <xf numFmtId="43" fontId="11" fillId="11" borderId="2" xfId="4" applyNumberFormat="1" applyBorder="1" applyAlignment="1">
      <alignment horizontal="center" vertical="center"/>
    </xf>
    <xf numFmtId="43" fontId="22" fillId="8" borderId="0" xfId="0" applyNumberFormat="1" applyFont="1" applyFill="1" applyAlignment="1">
      <alignment vertical="center"/>
    </xf>
    <xf numFmtId="43" fontId="19" fillId="8" borderId="0" xfId="0" applyNumberFormat="1" applyFont="1" applyFill="1" applyAlignment="1">
      <alignment vertical="center"/>
    </xf>
    <xf numFmtId="43" fontId="18" fillId="0" borderId="0" xfId="0" applyNumberFormat="1" applyFont="1" applyAlignment="1">
      <alignment horizontal="center" vertical="center"/>
    </xf>
    <xf numFmtId="43" fontId="19" fillId="0" borderId="2" xfId="0" applyNumberFormat="1" applyFont="1" applyBorder="1" applyAlignment="1">
      <alignment vertical="center"/>
    </xf>
    <xf numFmtId="43" fontId="22" fillId="0" borderId="0" xfId="0" applyNumberFormat="1" applyFont="1" applyAlignment="1">
      <alignment vertical="center"/>
    </xf>
    <xf numFmtId="43" fontId="12" fillId="25" borderId="24" xfId="13" applyNumberFormat="1" applyBorder="1" applyAlignment="1">
      <alignment horizontal="center" vertical="center"/>
    </xf>
    <xf numFmtId="43" fontId="12" fillId="25" borderId="0" xfId="13" applyNumberFormat="1" applyAlignment="1">
      <alignment horizontal="center" vertical="center"/>
    </xf>
    <xf numFmtId="43" fontId="12" fillId="25" borderId="23" xfId="13" applyNumberFormat="1" applyBorder="1" applyAlignment="1">
      <alignment horizontal="center" vertical="center"/>
    </xf>
    <xf numFmtId="43" fontId="12" fillId="25" borderId="20" xfId="13" applyNumberFormat="1" applyBorder="1" applyAlignment="1">
      <alignment horizontal="center" vertical="center"/>
    </xf>
    <xf numFmtId="43" fontId="26" fillId="0" borderId="0" xfId="0" applyNumberFormat="1" applyFont="1" applyAlignment="1">
      <alignment horizontal="left" vertical="center"/>
    </xf>
    <xf numFmtId="43" fontId="25" fillId="7" borderId="9" xfId="3" applyNumberFormat="1" applyFont="1" applyBorder="1" applyAlignment="1">
      <alignment horizontal="center" vertical="center"/>
    </xf>
    <xf numFmtId="43" fontId="22" fillId="0" borderId="0" xfId="0" applyNumberFormat="1" applyFont="1" applyAlignment="1">
      <alignment vertical="center" wrapText="1"/>
    </xf>
    <xf numFmtId="43" fontId="12" fillId="25" borderId="23" xfId="13" applyNumberFormat="1" applyBorder="1" applyAlignment="1">
      <alignment horizontal="center" vertical="center" wrapText="1"/>
    </xf>
    <xf numFmtId="43" fontId="12" fillId="25" borderId="20" xfId="13" applyNumberFormat="1" applyBorder="1" applyAlignment="1">
      <alignment horizontal="center" vertical="center" wrapText="1"/>
    </xf>
    <xf numFmtId="43" fontId="11" fillId="11" borderId="2" xfId="4" applyNumberFormat="1" applyBorder="1" applyAlignment="1">
      <alignment horizontal="center" vertical="center" wrapText="1"/>
    </xf>
    <xf numFmtId="43" fontId="37" fillId="3" borderId="0" xfId="0" applyNumberFormat="1" applyFont="1" applyFill="1" applyAlignment="1">
      <alignment horizontal="right" vertical="center"/>
    </xf>
    <xf numFmtId="43" fontId="37" fillId="3" borderId="0" xfId="0" applyNumberFormat="1" applyFont="1" applyFill="1" applyAlignment="1">
      <alignment horizontal="left" vertical="center"/>
    </xf>
    <xf numFmtId="43" fontId="28" fillId="2" borderId="21" xfId="0" applyNumberFormat="1" applyFont="1" applyFill="1" applyBorder="1" applyAlignment="1">
      <alignment vertical="center"/>
    </xf>
    <xf numFmtId="43" fontId="26" fillId="2" borderId="0" xfId="0" applyNumberFormat="1" applyFont="1" applyFill="1" applyAlignment="1">
      <alignment vertical="center"/>
    </xf>
    <xf numFmtId="43" fontId="29" fillId="2" borderId="0" xfId="0" applyNumberFormat="1" applyFont="1" applyFill="1" applyAlignment="1">
      <alignment horizontal="left" vertical="center" indent="1"/>
    </xf>
    <xf numFmtId="43" fontId="47" fillId="2" borderId="0" xfId="0" applyNumberFormat="1" applyFont="1" applyFill="1" applyAlignment="1">
      <alignment horizontal="right" vertical="center"/>
    </xf>
    <xf numFmtId="43" fontId="47" fillId="2" borderId="0" xfId="0" applyNumberFormat="1" applyFont="1" applyFill="1" applyAlignment="1">
      <alignment vertical="center"/>
    </xf>
    <xf numFmtId="43" fontId="26" fillId="0" borderId="0" xfId="0" applyNumberFormat="1" applyFont="1" applyAlignment="1">
      <alignment horizontal="center" vertical="center"/>
    </xf>
    <xf numFmtId="43" fontId="28" fillId="2" borderId="0" xfId="0" applyNumberFormat="1" applyFont="1" applyFill="1" applyAlignment="1">
      <alignment vertical="center"/>
    </xf>
    <xf numFmtId="43" fontId="27" fillId="2" borderId="0" xfId="0" applyNumberFormat="1" applyFont="1" applyFill="1" applyAlignment="1">
      <alignment vertical="center"/>
    </xf>
    <xf numFmtId="43" fontId="26" fillId="2" borderId="26" xfId="0" applyNumberFormat="1" applyFont="1" applyFill="1" applyBorder="1" applyAlignment="1">
      <alignment vertical="center"/>
    </xf>
    <xf numFmtId="43" fontId="28" fillId="10" borderId="0" xfId="0" applyNumberFormat="1" applyFont="1" applyFill="1" applyAlignment="1">
      <alignment vertical="center"/>
    </xf>
    <xf numFmtId="9" fontId="22" fillId="0" borderId="0" xfId="12" applyFont="1" applyBorder="1" applyAlignment="1">
      <alignment horizontal="center" vertical="center"/>
    </xf>
    <xf numFmtId="43" fontId="26" fillId="0" borderId="0" xfId="0" applyNumberFormat="1" applyFont="1" applyAlignment="1">
      <alignment vertical="center" wrapText="1"/>
    </xf>
    <xf numFmtId="0" fontId="9" fillId="6" borderId="31" xfId="2" applyFont="1" applyBorder="1" applyAlignment="1">
      <alignment vertical="center"/>
    </xf>
    <xf numFmtId="9" fontId="43" fillId="28" borderId="0" xfId="12" applyFont="1" applyFill="1" applyAlignment="1">
      <alignment vertical="center" wrapText="1"/>
    </xf>
    <xf numFmtId="43" fontId="12" fillId="2" borderId="0" xfId="0" applyNumberFormat="1" applyFont="1" applyFill="1"/>
    <xf numFmtId="4" fontId="43" fillId="2" borderId="0" xfId="0" applyNumberFormat="1" applyFont="1" applyFill="1" applyAlignment="1">
      <alignment vertical="center" wrapText="1"/>
    </xf>
    <xf numFmtId="43" fontId="45" fillId="2" borderId="0" xfId="0" applyNumberFormat="1" applyFont="1" applyFill="1" applyAlignment="1">
      <alignment vertical="center" wrapText="1"/>
    </xf>
    <xf numFmtId="43" fontId="35" fillId="2" borderId="0" xfId="0" applyNumberFormat="1" applyFont="1" applyFill="1"/>
    <xf numFmtId="9" fontId="43" fillId="2" borderId="0" xfId="0" applyNumberFormat="1" applyFont="1" applyFill="1" applyAlignment="1">
      <alignment vertical="center" wrapText="1"/>
    </xf>
    <xf numFmtId="9" fontId="50" fillId="33" borderId="0" xfId="12" applyFont="1" applyFill="1" applyBorder="1" applyAlignment="1">
      <alignment vertical="center" wrapText="1"/>
    </xf>
    <xf numFmtId="9" fontId="35" fillId="2" borderId="0" xfId="0" applyNumberFormat="1" applyFont="1" applyFill="1"/>
    <xf numFmtId="9" fontId="46" fillId="2" borderId="0" xfId="12" applyFont="1" applyFill="1" applyBorder="1" applyAlignment="1">
      <alignment vertical="center" wrapText="1"/>
    </xf>
    <xf numFmtId="43" fontId="51" fillId="33" borderId="0" xfId="12" applyNumberFormat="1" applyFont="1" applyFill="1" applyBorder="1" applyAlignment="1">
      <alignment vertical="center" wrapText="1"/>
    </xf>
    <xf numFmtId="43" fontId="46" fillId="2" borderId="0" xfId="0" applyNumberFormat="1" applyFont="1" applyFill="1"/>
    <xf numFmtId="43" fontId="35" fillId="37" borderId="34" xfId="0" applyNumberFormat="1" applyFont="1" applyFill="1" applyBorder="1"/>
    <xf numFmtId="43" fontId="35" fillId="2" borderId="0" xfId="0" applyNumberFormat="1" applyFont="1" applyFill="1" applyAlignment="1">
      <alignment horizontal="left" vertical="center" wrapText="1"/>
    </xf>
    <xf numFmtId="43" fontId="35" fillId="2" borderId="0" xfId="0" applyNumberFormat="1" applyFont="1" applyFill="1" applyAlignment="1">
      <alignment horizontal="left" indent="1"/>
    </xf>
    <xf numFmtId="43" fontId="52" fillId="11" borderId="0" xfId="4" applyNumberFormat="1" applyFont="1" applyAlignment="1">
      <alignment vertical="center" wrapText="1"/>
    </xf>
    <xf numFmtId="43" fontId="35" fillId="2" borderId="1" xfId="0" applyNumberFormat="1" applyFont="1" applyFill="1" applyBorder="1"/>
    <xf numFmtId="43" fontId="46" fillId="28" borderId="0" xfId="0" applyNumberFormat="1" applyFont="1" applyFill="1"/>
    <xf numFmtId="43" fontId="50" fillId="33" borderId="0" xfId="0" applyNumberFormat="1" applyFont="1" applyFill="1"/>
    <xf numFmtId="43" fontId="35" fillId="2" borderId="0" xfId="0" applyNumberFormat="1" applyFont="1" applyFill="1" applyAlignment="1">
      <alignment horizontal="center" vertical="center" wrapText="1"/>
    </xf>
    <xf numFmtId="43" fontId="45" fillId="2" borderId="0" xfId="0" applyNumberFormat="1" applyFont="1" applyFill="1" applyAlignment="1">
      <alignment horizontal="center" vertical="center" wrapText="1"/>
    </xf>
    <xf numFmtId="9" fontId="45" fillId="2" borderId="0" xfId="12" applyFont="1" applyFill="1" applyBorder="1" applyAlignment="1">
      <alignment horizontal="center" vertical="center" wrapText="1"/>
    </xf>
    <xf numFmtId="43" fontId="54" fillId="28" borderId="0" xfId="0" applyNumberFormat="1" applyFont="1" applyFill="1" applyAlignment="1">
      <alignment vertical="center" wrapText="1"/>
    </xf>
    <xf numFmtId="43" fontId="12" fillId="35" borderId="0" xfId="0" applyNumberFormat="1" applyFont="1" applyFill="1" applyAlignment="1">
      <alignment wrapText="1"/>
    </xf>
    <xf numFmtId="43" fontId="50" fillId="33" borderId="0" xfId="0" applyNumberFormat="1" applyFont="1" applyFill="1" applyAlignment="1">
      <alignment vertical="center" wrapText="1"/>
    </xf>
    <xf numFmtId="43" fontId="46" fillId="2" borderId="0" xfId="0" applyNumberFormat="1" applyFont="1" applyFill="1" applyAlignment="1">
      <alignment vertical="center" wrapText="1"/>
    </xf>
    <xf numFmtId="43" fontId="51" fillId="33" borderId="0" xfId="0" applyNumberFormat="1" applyFont="1" applyFill="1" applyAlignment="1">
      <alignment vertical="center" wrapText="1"/>
    </xf>
    <xf numFmtId="43" fontId="44" fillId="39" borderId="1" xfId="0" applyNumberFormat="1" applyFont="1" applyFill="1" applyBorder="1"/>
    <xf numFmtId="43" fontId="56" fillId="39" borderId="1" xfId="0" applyNumberFormat="1" applyFont="1" applyFill="1" applyBorder="1"/>
    <xf numFmtId="9" fontId="56" fillId="39" borderId="1" xfId="12" applyFont="1" applyFill="1" applyBorder="1" applyAlignment="1">
      <alignment vertical="center" wrapText="1"/>
    </xf>
    <xf numFmtId="43" fontId="44" fillId="2" borderId="0" xfId="0" applyNumberFormat="1" applyFont="1" applyFill="1" applyAlignment="1">
      <alignment vertical="center" wrapText="1"/>
    </xf>
    <xf numFmtId="43" fontId="44" fillId="33" borderId="0" xfId="0" applyNumberFormat="1" applyFont="1" applyFill="1" applyAlignment="1">
      <alignment vertical="center" wrapText="1"/>
    </xf>
    <xf numFmtId="9" fontId="50" fillId="33" borderId="0" xfId="12" applyFont="1" applyFill="1" applyBorder="1"/>
    <xf numFmtId="43" fontId="57" fillId="2" borderId="1" xfId="0" applyNumberFormat="1" applyFont="1" applyFill="1" applyBorder="1"/>
    <xf numFmtId="9" fontId="57" fillId="2" borderId="1" xfId="12" applyFont="1" applyFill="1" applyBorder="1" applyAlignment="1">
      <alignment vertical="center" wrapText="1"/>
    </xf>
    <xf numFmtId="0" fontId="0" fillId="2" borderId="0" xfId="0" applyFill="1" applyAlignment="1">
      <alignment horizontal="center" vertical="center"/>
    </xf>
    <xf numFmtId="0" fontId="6" fillId="35" borderId="0" xfId="0" applyFont="1" applyFill="1" applyAlignment="1">
      <alignment horizontal="center" vertical="center" wrapText="1"/>
    </xf>
    <xf numFmtId="0" fontId="6" fillId="12" borderId="0" xfId="5" applyNumberFormat="1" applyFont="1" applyAlignment="1">
      <alignment horizontal="center" vertical="center" wrapText="1"/>
    </xf>
    <xf numFmtId="0" fontId="7" fillId="24" borderId="0" xfId="0" applyFont="1" applyFill="1" applyAlignment="1">
      <alignment horizontal="center" vertical="center"/>
    </xf>
    <xf numFmtId="0" fontId="0" fillId="0" borderId="2" xfId="0" applyBorder="1"/>
    <xf numFmtId="0" fontId="0" fillId="35" borderId="2" xfId="0" applyFill="1" applyBorder="1"/>
    <xf numFmtId="0" fontId="7" fillId="2" borderId="0" xfId="0" applyFont="1" applyFill="1" applyAlignment="1">
      <alignment horizontal="center" vertical="center" wrapText="1"/>
    </xf>
    <xf numFmtId="43" fontId="19" fillId="4" borderId="0" xfId="8" applyNumberFormat="1" applyFont="1" applyFill="1" applyBorder="1" applyAlignment="1">
      <alignment horizontal="center" vertical="center" wrapText="1"/>
    </xf>
    <xf numFmtId="43" fontId="21" fillId="4" borderId="0" xfId="7" applyNumberFormat="1" applyFont="1" applyFill="1" applyBorder="1" applyAlignment="1">
      <alignment vertical="center" wrapText="1"/>
    </xf>
    <xf numFmtId="43" fontId="23" fillId="4" borderId="0" xfId="4" applyNumberFormat="1" applyFont="1" applyFill="1" applyBorder="1" applyAlignment="1">
      <alignment horizontal="center" vertical="center" wrapText="1"/>
    </xf>
    <xf numFmtId="43" fontId="17" fillId="4" borderId="0" xfId="0" applyNumberFormat="1" applyFont="1" applyFill="1" applyAlignment="1">
      <alignment vertical="center" wrapText="1"/>
    </xf>
    <xf numFmtId="43" fontId="25" fillId="4" borderId="0" xfId="3" applyNumberFormat="1" applyFont="1" applyFill="1" applyBorder="1" applyAlignment="1">
      <alignment vertical="center" wrapText="1"/>
    </xf>
    <xf numFmtId="43" fontId="31" fillId="0" borderId="0" xfId="0" applyNumberFormat="1" applyFont="1" applyAlignment="1">
      <alignment horizontal="center" wrapText="1"/>
    </xf>
    <xf numFmtId="43" fontId="6" fillId="35" borderId="0" xfId="0" applyNumberFormat="1" applyFont="1" applyFill="1" applyAlignment="1">
      <alignment horizontal="center" wrapText="1"/>
    </xf>
    <xf numFmtId="43" fontId="7" fillId="24" borderId="0" xfId="0" applyNumberFormat="1" applyFont="1" applyFill="1"/>
    <xf numFmtId="43" fontId="0" fillId="2" borderId="2" xfId="0" applyNumberFormat="1" applyFill="1" applyBorder="1"/>
    <xf numFmtId="43" fontId="0" fillId="0" borderId="2" xfId="0" applyNumberFormat="1" applyBorder="1"/>
    <xf numFmtId="43" fontId="0" fillId="35" borderId="2" xfId="0" applyNumberFormat="1" applyFill="1" applyBorder="1"/>
    <xf numFmtId="43" fontId="0" fillId="0" borderId="0" xfId="0" applyNumberFormat="1" applyAlignment="1">
      <alignment horizontal="center" vertical="center" wrapText="1"/>
    </xf>
    <xf numFmtId="43" fontId="7" fillId="24" borderId="19" xfId="0" applyNumberFormat="1" applyFont="1" applyFill="1" applyBorder="1"/>
    <xf numFmtId="43" fontId="0" fillId="2" borderId="0" xfId="0" applyNumberFormat="1" applyFill="1" applyAlignment="1">
      <alignment horizontal="left" vertical="center" wrapText="1" indent="2"/>
    </xf>
    <xf numFmtId="43" fontId="0" fillId="31" borderId="0" xfId="0" applyNumberFormat="1" applyFill="1" applyAlignment="1">
      <alignment horizontal="left" vertical="center" wrapText="1" indent="2"/>
    </xf>
    <xf numFmtId="43" fontId="12" fillId="30" borderId="0" xfId="0" applyNumberFormat="1" applyFont="1" applyFill="1" applyAlignment="1">
      <alignment horizontal="right" vertical="center" wrapText="1" indent="2"/>
    </xf>
    <xf numFmtId="43" fontId="0" fillId="2" borderId="0" xfId="0" applyNumberFormat="1" applyFill="1" applyAlignment="1">
      <alignment horizontal="left" indent="2"/>
    </xf>
    <xf numFmtId="43" fontId="6" fillId="21" borderId="0" xfId="0" applyNumberFormat="1" applyFont="1" applyFill="1" applyAlignment="1">
      <alignment horizontal="right" wrapText="1"/>
    </xf>
    <xf numFmtId="43" fontId="7" fillId="2" borderId="2" xfId="0" applyNumberFormat="1" applyFont="1" applyFill="1" applyBorder="1"/>
    <xf numFmtId="0" fontId="0" fillId="0" borderId="2" xfId="0" applyBorder="1" applyAlignment="1">
      <alignment horizontal="center" vertical="center"/>
    </xf>
    <xf numFmtId="43" fontId="12" fillId="35" borderId="2" xfId="0" applyNumberFormat="1" applyFont="1" applyFill="1" applyBorder="1" applyAlignment="1">
      <alignment wrapText="1"/>
    </xf>
    <xf numFmtId="0" fontId="6" fillId="35" borderId="2" xfId="0" applyFont="1" applyFill="1" applyBorder="1" applyAlignment="1">
      <alignment horizontal="center" vertical="center" wrapText="1"/>
    </xf>
    <xf numFmtId="43" fontId="6" fillId="35" borderId="2" xfId="0" applyNumberFormat="1" applyFont="1" applyFill="1" applyBorder="1" applyAlignment="1">
      <alignment horizontal="center" wrapText="1"/>
    </xf>
    <xf numFmtId="43" fontId="12" fillId="12" borderId="2" xfId="5" applyNumberFormat="1" applyBorder="1" applyAlignment="1">
      <alignment horizontal="center" vertical="center" wrapText="1"/>
    </xf>
    <xf numFmtId="0" fontId="6" fillId="12" borderId="2" xfId="5" applyNumberFormat="1" applyFont="1" applyBorder="1" applyAlignment="1">
      <alignment horizontal="center" vertical="center" wrapText="1"/>
    </xf>
    <xf numFmtId="0" fontId="7" fillId="24" borderId="2" xfId="0" applyFont="1" applyFill="1" applyBorder="1" applyAlignment="1">
      <alignment horizontal="center" vertical="center"/>
    </xf>
    <xf numFmtId="43" fontId="7" fillId="24" borderId="2" xfId="0" applyNumberFormat="1" applyFont="1" applyFill="1" applyBorder="1"/>
    <xf numFmtId="0" fontId="0" fillId="2" borderId="2" xfId="0" applyFill="1" applyBorder="1" applyAlignment="1">
      <alignment horizontal="center" vertical="center"/>
    </xf>
    <xf numFmtId="43" fontId="12" fillId="35" borderId="33" xfId="0" applyNumberFormat="1" applyFont="1" applyFill="1" applyBorder="1" applyAlignment="1">
      <alignment wrapText="1"/>
    </xf>
    <xf numFmtId="0" fontId="6" fillId="35" borderId="24" xfId="0" applyFont="1" applyFill="1" applyBorder="1" applyAlignment="1">
      <alignment horizontal="center" vertical="center" wrapText="1"/>
    </xf>
    <xf numFmtId="43" fontId="6" fillId="35" borderId="24" xfId="0" applyNumberFormat="1" applyFont="1" applyFill="1" applyBorder="1" applyAlignment="1">
      <alignment horizontal="center" wrapText="1"/>
    </xf>
    <xf numFmtId="43" fontId="12" fillId="35" borderId="24" xfId="0" applyNumberFormat="1" applyFont="1" applyFill="1" applyBorder="1" applyAlignment="1">
      <alignment wrapText="1"/>
    </xf>
    <xf numFmtId="43" fontId="12" fillId="35" borderId="32" xfId="0" applyNumberFormat="1" applyFont="1" applyFill="1" applyBorder="1" applyAlignment="1">
      <alignment wrapText="1"/>
    </xf>
    <xf numFmtId="43" fontId="1" fillId="23" borderId="35" xfId="11" applyNumberFormat="1" applyBorder="1" applyAlignment="1">
      <alignment horizontal="center" vertical="center" wrapText="1"/>
    </xf>
    <xf numFmtId="0" fontId="1" fillId="23" borderId="36" xfId="11" applyNumberFormat="1" applyBorder="1" applyAlignment="1">
      <alignment horizontal="center" vertical="center" wrapText="1"/>
    </xf>
    <xf numFmtId="43" fontId="34" fillId="23" borderId="36" xfId="11" applyNumberFormat="1" applyFont="1" applyBorder="1" applyAlignment="1">
      <alignment horizontal="right" vertical="center" wrapText="1"/>
    </xf>
    <xf numFmtId="43" fontId="34" fillId="23" borderId="36" xfId="11" applyNumberFormat="1" applyFont="1" applyBorder="1" applyAlignment="1">
      <alignment horizontal="left" vertical="center" wrapText="1"/>
    </xf>
    <xf numFmtId="43" fontId="1" fillId="23" borderId="36" xfId="11" applyNumberFormat="1" applyBorder="1" applyAlignment="1">
      <alignment horizontal="center" vertical="center" wrapText="1"/>
    </xf>
    <xf numFmtId="43" fontId="1" fillId="23" borderId="37" xfId="11" applyNumberFormat="1" applyBorder="1" applyAlignment="1">
      <alignment horizontal="center" vertical="center" wrapText="1"/>
    </xf>
    <xf numFmtId="43" fontId="12" fillId="4" borderId="0" xfId="5" applyNumberFormat="1" applyFill="1" applyBorder="1" applyAlignment="1">
      <alignment horizontal="center" vertical="center" wrapText="1"/>
    </xf>
    <xf numFmtId="0" fontId="12" fillId="4" borderId="0" xfId="5" applyNumberFormat="1" applyFill="1" applyBorder="1" applyAlignment="1">
      <alignment horizontal="center" vertical="center" wrapText="1"/>
    </xf>
    <xf numFmtId="43" fontId="12" fillId="33" borderId="0" xfId="5" applyNumberFormat="1" applyFill="1" applyBorder="1" applyAlignment="1">
      <alignment horizontal="center" vertical="center" wrapText="1"/>
    </xf>
    <xf numFmtId="43" fontId="43" fillId="3" borderId="0" xfId="0" applyNumberFormat="1" applyFont="1" applyFill="1" applyAlignment="1">
      <alignment vertical="center" wrapText="1"/>
    </xf>
    <xf numFmtId="9" fontId="43" fillId="3" borderId="0" xfId="12" applyFont="1" applyFill="1" applyAlignment="1">
      <alignment vertical="center" wrapText="1"/>
    </xf>
    <xf numFmtId="43" fontId="55" fillId="3" borderId="0" xfId="0" applyNumberFormat="1" applyFont="1" applyFill="1" applyAlignment="1">
      <alignment horizontal="right" vertical="center" wrapText="1"/>
    </xf>
    <xf numFmtId="43" fontId="53" fillId="3" borderId="0" xfId="0" applyNumberFormat="1" applyFont="1" applyFill="1" applyAlignment="1">
      <alignment vertical="center" wrapText="1"/>
    </xf>
    <xf numFmtId="9" fontId="0" fillId="0" borderId="0" xfId="0" applyNumberFormat="1"/>
    <xf numFmtId="0" fontId="6" fillId="27" borderId="38" xfId="0" applyFont="1" applyFill="1" applyBorder="1"/>
    <xf numFmtId="10" fontId="6" fillId="27" borderId="27" xfId="0" applyNumberFormat="1" applyFont="1" applyFill="1" applyBorder="1"/>
    <xf numFmtId="10" fontId="6" fillId="27" borderId="26" xfId="0" applyNumberFormat="1" applyFont="1" applyFill="1" applyBorder="1"/>
    <xf numFmtId="43" fontId="52" fillId="28" borderId="0" xfId="4" applyNumberFormat="1" applyFont="1" applyFill="1" applyAlignment="1">
      <alignment vertical="center" wrapText="1"/>
    </xf>
    <xf numFmtId="43" fontId="0" fillId="28" borderId="2" xfId="0" applyNumberFormat="1" applyFill="1" applyBorder="1"/>
    <xf numFmtId="0" fontId="0" fillId="28" borderId="2" xfId="0" applyFill="1" applyBorder="1" applyAlignment="1">
      <alignment horizontal="center" vertical="center"/>
    </xf>
    <xf numFmtId="0" fontId="46" fillId="28" borderId="0" xfId="0" applyFont="1" applyFill="1"/>
    <xf numFmtId="0" fontId="7" fillId="24" borderId="2" xfId="0" applyFont="1" applyFill="1" applyBorder="1" applyAlignment="1">
      <alignment horizontal="center"/>
    </xf>
    <xf numFmtId="43" fontId="0" fillId="2" borderId="0" xfId="0" applyNumberFormat="1" applyFill="1" applyAlignment="1">
      <alignment horizontal="left" indent="1"/>
    </xf>
    <xf numFmtId="43" fontId="63" fillId="2" borderId="1" xfId="0" applyNumberFormat="1" applyFont="1" applyFill="1" applyBorder="1"/>
    <xf numFmtId="9" fontId="63" fillId="2" borderId="1" xfId="12" applyFont="1" applyFill="1" applyBorder="1" applyAlignment="1">
      <alignment vertical="center" wrapText="1"/>
    </xf>
    <xf numFmtId="0" fontId="65" fillId="40" borderId="0" xfId="0" applyFont="1" applyFill="1" applyAlignment="1">
      <alignment wrapText="1"/>
    </xf>
    <xf numFmtId="0" fontId="0" fillId="8" borderId="0" xfId="0" applyFill="1" applyAlignment="1">
      <alignment wrapText="1"/>
    </xf>
    <xf numFmtId="43" fontId="0" fillId="2" borderId="0" xfId="0" applyNumberFormat="1" applyFill="1" applyAlignment="1">
      <alignment horizontal="center" vertical="center"/>
    </xf>
    <xf numFmtId="0" fontId="61" fillId="28" borderId="0" xfId="0" applyFont="1" applyFill="1"/>
    <xf numFmtId="43" fontId="61" fillId="28" borderId="0" xfId="0" applyNumberFormat="1" applyFont="1" applyFill="1" applyAlignment="1">
      <alignment vertical="center" wrapText="1"/>
    </xf>
    <xf numFmtId="0" fontId="42" fillId="28" borderId="0" xfId="0" applyFont="1" applyFill="1"/>
    <xf numFmtId="0" fontId="59" fillId="28" borderId="0" xfId="0" applyFont="1" applyFill="1" applyAlignment="1">
      <alignment horizontal="right"/>
    </xf>
    <xf numFmtId="43" fontId="42" fillId="28" borderId="0" xfId="0" applyNumberFormat="1" applyFont="1" applyFill="1" applyAlignment="1">
      <alignment horizontal="left" vertical="center" wrapText="1"/>
    </xf>
    <xf numFmtId="0" fontId="42" fillId="40" borderId="39" xfId="0" applyFont="1" applyFill="1" applyBorder="1" applyAlignment="1">
      <alignment horizontal="right" vertical="center"/>
    </xf>
    <xf numFmtId="43" fontId="42" fillId="40" borderId="39" xfId="0" applyNumberFormat="1" applyFont="1" applyFill="1" applyBorder="1" applyAlignment="1">
      <alignment horizontal="left" vertical="center" wrapText="1"/>
    </xf>
    <xf numFmtId="0" fontId="60" fillId="40" borderId="0" xfId="0" applyFont="1" applyFill="1"/>
    <xf numFmtId="0" fontId="61" fillId="40" borderId="0" xfId="0" applyFont="1" applyFill="1"/>
    <xf numFmtId="43" fontId="61" fillId="40" borderId="0" xfId="0" applyNumberFormat="1" applyFont="1" applyFill="1" applyAlignment="1">
      <alignment vertical="center" wrapText="1"/>
    </xf>
    <xf numFmtId="9" fontId="61" fillId="28" borderId="0" xfId="12" applyFont="1" applyFill="1" applyAlignment="1">
      <alignment vertical="center" wrapText="1"/>
    </xf>
    <xf numFmtId="0" fontId="42" fillId="40" borderId="39" xfId="0" applyFont="1" applyFill="1" applyBorder="1" applyAlignment="1">
      <alignment vertical="center"/>
    </xf>
    <xf numFmtId="0" fontId="1" fillId="41" borderId="10" xfId="10" applyFill="1" applyBorder="1" applyAlignment="1">
      <alignment horizontal="center" vertical="center" wrapText="1"/>
    </xf>
    <xf numFmtId="0" fontId="1" fillId="41" borderId="4" xfId="10" applyFill="1" applyBorder="1" applyAlignment="1">
      <alignment horizontal="center" vertical="center" wrapText="1"/>
    </xf>
    <xf numFmtId="9" fontId="45" fillId="28" borderId="0" xfId="12" applyFont="1" applyFill="1" applyBorder="1" applyAlignment="1">
      <alignment horizontal="center" vertical="center" wrapText="1"/>
    </xf>
    <xf numFmtId="43" fontId="42" fillId="28" borderId="0" xfId="0" applyNumberFormat="1" applyFont="1" applyFill="1" applyAlignment="1">
      <alignment vertical="center" wrapText="1"/>
    </xf>
    <xf numFmtId="9" fontId="46" fillId="2" borderId="0" xfId="0" applyNumberFormat="1" applyFont="1" applyFill="1"/>
    <xf numFmtId="4" fontId="35" fillId="37" borderId="34" xfId="12" applyNumberFormat="1" applyFont="1" applyFill="1" applyBorder="1" applyAlignment="1">
      <alignment vertical="center" wrapText="1"/>
    </xf>
    <xf numFmtId="9" fontId="35" fillId="37" borderId="34" xfId="0" applyNumberFormat="1" applyFont="1" applyFill="1" applyBorder="1"/>
    <xf numFmtId="4" fontId="46" fillId="36" borderId="0" xfId="12" applyNumberFormat="1" applyFont="1" applyFill="1" applyAlignment="1">
      <alignment vertical="center" wrapText="1"/>
    </xf>
    <xf numFmtId="4" fontId="35" fillId="36" borderId="0" xfId="12" applyNumberFormat="1" applyFont="1" applyFill="1" applyBorder="1"/>
    <xf numFmtId="4" fontId="35" fillId="36" borderId="0" xfId="12" applyNumberFormat="1" applyFont="1" applyFill="1" applyAlignment="1">
      <alignment vertical="center" wrapText="1"/>
    </xf>
    <xf numFmtId="43" fontId="11" fillId="11" borderId="0" xfId="4" applyNumberFormat="1" applyAlignment="1">
      <alignment horizontal="center" vertical="center" wrapText="1"/>
    </xf>
    <xf numFmtId="43" fontId="11" fillId="11" borderId="0" xfId="4" applyNumberFormat="1" applyAlignment="1">
      <alignment vertical="center" wrapText="1"/>
    </xf>
    <xf numFmtId="0" fontId="0" fillId="28" borderId="0" xfId="0" applyFill="1"/>
    <xf numFmtId="9" fontId="46" fillId="2" borderId="0" xfId="0" applyNumberFormat="1" applyFont="1" applyFill="1" applyAlignment="1">
      <alignment vertical="center" wrapText="1"/>
    </xf>
    <xf numFmtId="0" fontId="70" fillId="2" borderId="40" xfId="0" applyFont="1" applyFill="1" applyBorder="1" applyAlignment="1">
      <alignment wrapText="1"/>
    </xf>
    <xf numFmtId="43" fontId="70" fillId="2" borderId="40" xfId="14" applyFont="1" applyFill="1" applyBorder="1" applyAlignment="1">
      <alignment wrapText="1"/>
    </xf>
    <xf numFmtId="0" fontId="70" fillId="2" borderId="40" xfId="0" applyFont="1" applyFill="1" applyBorder="1" applyAlignment="1">
      <alignment horizontal="left" wrapText="1" indent="2"/>
    </xf>
    <xf numFmtId="0" fontId="70" fillId="2" borderId="40" xfId="0" applyFont="1" applyFill="1" applyBorder="1" applyAlignment="1">
      <alignment horizontal="left" wrapText="1" indent="5"/>
    </xf>
    <xf numFmtId="0" fontId="70" fillId="2" borderId="41" xfId="0" applyFont="1" applyFill="1" applyBorder="1" applyAlignment="1">
      <alignment horizontal="left" wrapText="1" indent="2"/>
    </xf>
    <xf numFmtId="0" fontId="70" fillId="2" borderId="41" xfId="0" applyFont="1" applyFill="1" applyBorder="1" applyAlignment="1">
      <alignment wrapText="1"/>
    </xf>
    <xf numFmtId="43" fontId="70" fillId="2" borderId="41" xfId="14" applyFont="1" applyFill="1" applyBorder="1" applyAlignment="1">
      <alignment wrapText="1"/>
    </xf>
    <xf numFmtId="0" fontId="0" fillId="2" borderId="0" xfId="0" applyFill="1" applyAlignment="1">
      <alignment horizontal="left" wrapText="1" indent="2"/>
    </xf>
    <xf numFmtId="0" fontId="0" fillId="2" borderId="2" xfId="0" applyFill="1" applyBorder="1" applyAlignment="1">
      <alignment wrapText="1"/>
    </xf>
    <xf numFmtId="43" fontId="0" fillId="2" borderId="2" xfId="14" applyFont="1" applyFill="1" applyBorder="1" applyAlignment="1">
      <alignment wrapText="1"/>
    </xf>
    <xf numFmtId="0" fontId="70" fillId="2" borderId="42" xfId="0" applyFont="1" applyFill="1" applyBorder="1" applyAlignment="1">
      <alignment wrapText="1"/>
    </xf>
    <xf numFmtId="43" fontId="70" fillId="2" borderId="42" xfId="14" applyFont="1" applyFill="1" applyBorder="1" applyAlignment="1">
      <alignment wrapText="1"/>
    </xf>
    <xf numFmtId="43" fontId="12" fillId="12" borderId="40" xfId="5" applyNumberFormat="1" applyBorder="1" applyAlignment="1">
      <alignment wrapText="1"/>
    </xf>
    <xf numFmtId="0" fontId="12" fillId="12" borderId="40" xfId="5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71" fillId="8" borderId="40" xfId="0" applyFont="1" applyFill="1" applyBorder="1" applyAlignment="1">
      <alignment wrapText="1"/>
    </xf>
    <xf numFmtId="0" fontId="70" fillId="8" borderId="40" xfId="0" applyFont="1" applyFill="1" applyBorder="1" applyAlignment="1">
      <alignment wrapText="1"/>
    </xf>
    <xf numFmtId="43" fontId="70" fillId="8" borderId="40" xfId="14" applyFont="1" applyFill="1" applyBorder="1" applyAlignment="1">
      <alignment wrapText="1"/>
    </xf>
    <xf numFmtId="0" fontId="70" fillId="8" borderId="40" xfId="0" applyFont="1" applyFill="1" applyBorder="1" applyAlignment="1">
      <alignment horizontal="left" wrapText="1" indent="2"/>
    </xf>
    <xf numFmtId="0" fontId="70" fillId="8" borderId="41" xfId="0" applyFont="1" applyFill="1" applyBorder="1" applyAlignment="1">
      <alignment wrapText="1"/>
    </xf>
    <xf numFmtId="43" fontId="70" fillId="8" borderId="41" xfId="14" applyFont="1" applyFill="1" applyBorder="1" applyAlignment="1">
      <alignment wrapText="1"/>
    </xf>
    <xf numFmtId="0" fontId="0" fillId="28" borderId="0" xfId="0" applyFill="1" applyAlignment="1">
      <alignment horizontal="center" vertical="center"/>
    </xf>
    <xf numFmtId="0" fontId="0" fillId="28" borderId="0" xfId="0" applyFill="1" applyAlignment="1">
      <alignment horizontal="left" vertical="center"/>
    </xf>
    <xf numFmtId="43" fontId="0" fillId="28" borderId="0" xfId="0" applyNumberFormat="1" applyFill="1" applyAlignment="1">
      <alignment horizontal="center" vertical="center"/>
    </xf>
    <xf numFmtId="0" fontId="0" fillId="2" borderId="0" xfId="0" applyFill="1" applyAlignment="1">
      <alignment horizontal="left" vertical="center" indent="1"/>
    </xf>
    <xf numFmtId="0" fontId="0" fillId="2" borderId="0" xfId="0" applyFill="1" applyAlignment="1">
      <alignment horizontal="left" vertical="center" indent="2"/>
    </xf>
    <xf numFmtId="0" fontId="0" fillId="2" borderId="0" xfId="0" applyFill="1" applyAlignment="1">
      <alignment horizontal="left" vertical="center" indent="3"/>
    </xf>
    <xf numFmtId="0" fontId="7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 vertical="center" indent="4"/>
    </xf>
    <xf numFmtId="0" fontId="0" fillId="0" borderId="40" xfId="0" applyBorder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72" fillId="0" borderId="0" xfId="0" applyFont="1" applyAlignment="1">
      <alignment horizontal="center" wrapText="1"/>
    </xf>
    <xf numFmtId="0" fontId="72" fillId="0" borderId="0" xfId="0" applyFont="1" applyAlignment="1">
      <alignment horizontal="center" vertical="center" wrapText="1"/>
    </xf>
    <xf numFmtId="0" fontId="1" fillId="2" borderId="4" xfId="10" applyFill="1" applyBorder="1" applyAlignment="1">
      <alignment horizontal="center" vertical="center" wrapText="1"/>
    </xf>
    <xf numFmtId="43" fontId="42" fillId="29" borderId="0" xfId="0" applyNumberFormat="1" applyFont="1" applyFill="1" applyAlignment="1">
      <alignment horizontal="center" vertical="center" wrapText="1"/>
    </xf>
    <xf numFmtId="43" fontId="49" fillId="3" borderId="0" xfId="0" applyNumberFormat="1" applyFont="1" applyFill="1" applyAlignment="1">
      <alignment horizontal="center" vertical="center" wrapText="1"/>
    </xf>
    <xf numFmtId="0" fontId="61" fillId="40" borderId="0" xfId="0" applyFont="1" applyFill="1" applyAlignment="1">
      <alignment horizontal="center"/>
    </xf>
    <xf numFmtId="43" fontId="61" fillId="40" borderId="0" xfId="14" applyFont="1" applyFill="1" applyAlignment="1">
      <alignment vertical="center"/>
    </xf>
    <xf numFmtId="43" fontId="61" fillId="40" borderId="0" xfId="14" applyFont="1" applyFill="1" applyAlignment="1">
      <alignment horizontal="right" vertical="center"/>
    </xf>
    <xf numFmtId="40" fontId="61" fillId="40" borderId="0" xfId="0" applyNumberFormat="1" applyFont="1" applyFill="1" applyAlignment="1">
      <alignment horizontal="right" vertical="center"/>
    </xf>
    <xf numFmtId="40" fontId="61" fillId="40" borderId="0" xfId="0" applyNumberFormat="1" applyFont="1" applyFill="1" applyAlignment="1">
      <alignment vertical="center"/>
    </xf>
    <xf numFmtId="43" fontId="42" fillId="34" borderId="0" xfId="0" applyNumberFormat="1" applyFont="1" applyFill="1" applyAlignment="1">
      <alignment horizontal="center" vertical="center" wrapText="1"/>
    </xf>
    <xf numFmtId="43" fontId="44" fillId="38" borderId="0" xfId="0" applyNumberFormat="1" applyFont="1" applyFill="1" applyAlignment="1">
      <alignment horizontal="center" vertical="center" wrapText="1"/>
    </xf>
    <xf numFmtId="43" fontId="42" fillId="38" borderId="0" xfId="0" applyNumberFormat="1" applyFont="1" applyFill="1" applyAlignment="1">
      <alignment horizontal="center" vertical="center" wrapText="1"/>
    </xf>
    <xf numFmtId="0" fontId="41" fillId="4" borderId="0" xfId="0" applyFont="1" applyFill="1" applyAlignment="1">
      <alignment horizontal="center" vertical="center" wrapText="1"/>
    </xf>
    <xf numFmtId="43" fontId="19" fillId="0" borderId="3" xfId="0" applyNumberFormat="1" applyFont="1" applyBorder="1" applyAlignment="1">
      <alignment vertical="center"/>
    </xf>
    <xf numFmtId="43" fontId="19" fillId="0" borderId="4" xfId="0" applyNumberFormat="1" applyFont="1" applyBorder="1" applyAlignment="1">
      <alignment vertical="center"/>
    </xf>
    <xf numFmtId="43" fontId="19" fillId="0" borderId="5" xfId="0" applyNumberFormat="1" applyFont="1" applyBorder="1" applyAlignment="1">
      <alignment vertical="center"/>
    </xf>
    <xf numFmtId="43" fontId="33" fillId="18" borderId="0" xfId="0" applyNumberFormat="1" applyFont="1" applyFill="1" applyAlignment="1">
      <alignment horizontal="right" vertical="center" wrapText="1"/>
    </xf>
    <xf numFmtId="43" fontId="17" fillId="18" borderId="0" xfId="0" applyNumberFormat="1" applyFont="1" applyFill="1" applyAlignment="1">
      <alignment horizontal="right" vertical="center"/>
    </xf>
    <xf numFmtId="0" fontId="66" fillId="40" borderId="0" xfId="0" applyFont="1" applyFill="1" applyAlignment="1">
      <alignment horizontal="left" vertical="center" wrapText="1"/>
    </xf>
    <xf numFmtId="0" fontId="65" fillId="40" borderId="0" xfId="0" applyFont="1" applyFill="1" applyAlignment="1">
      <alignment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9" fillId="2" borderId="17" xfId="0" applyFont="1" applyFill="1" applyBorder="1" applyAlignment="1">
      <alignment horizontal="center" wrapText="1"/>
    </xf>
    <xf numFmtId="0" fontId="39" fillId="2" borderId="18" xfId="0" applyFont="1" applyFill="1" applyBorder="1" applyAlignment="1">
      <alignment horizontal="center" wrapText="1"/>
    </xf>
    <xf numFmtId="0" fontId="15" fillId="2" borderId="0" xfId="6" applyFont="1" applyFill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64" fillId="8" borderId="0" xfId="0" applyFont="1" applyFill="1" applyAlignment="1">
      <alignment horizontal="left" vertical="center" wrapText="1"/>
    </xf>
    <xf numFmtId="0" fontId="74" fillId="8" borderId="0" xfId="0" applyFont="1" applyFill="1" applyAlignment="1">
      <alignment horizontal="left" vertical="center" wrapText="1"/>
    </xf>
    <xf numFmtId="0" fontId="73" fillId="8" borderId="43" xfId="0" applyFont="1" applyFill="1" applyBorder="1" applyAlignment="1">
      <alignment horizontal="center" vertical="center" wrapText="1"/>
    </xf>
    <xf numFmtId="43" fontId="38" fillId="21" borderId="0" xfId="0" applyNumberFormat="1" applyFont="1" applyFill="1" applyAlignment="1">
      <alignment vertical="center" wrapText="1"/>
    </xf>
    <xf numFmtId="43" fontId="40" fillId="4" borderId="28" xfId="11" applyNumberFormat="1" applyFont="1" applyFill="1" applyBorder="1" applyAlignment="1">
      <alignment wrapText="1"/>
    </xf>
    <xf numFmtId="43" fontId="40" fillId="4" borderId="29" xfId="11" applyNumberFormat="1" applyFont="1" applyFill="1" applyBorder="1" applyAlignment="1">
      <alignment wrapText="1"/>
    </xf>
    <xf numFmtId="43" fontId="36" fillId="26" borderId="0" xfId="0" applyNumberFormat="1" applyFont="1" applyFill="1" applyAlignment="1">
      <alignment vertical="center" wrapText="1"/>
    </xf>
    <xf numFmtId="43" fontId="16" fillId="26" borderId="0" xfId="0" applyNumberFormat="1" applyFont="1" applyFill="1" applyAlignment="1">
      <alignment vertical="center" wrapText="1"/>
    </xf>
    <xf numFmtId="43" fontId="33" fillId="4" borderId="0" xfId="0" applyNumberFormat="1" applyFont="1" applyFill="1" applyAlignment="1">
      <alignment vertical="center" wrapText="1"/>
    </xf>
    <xf numFmtId="0" fontId="0" fillId="0" borderId="0" xfId="0" applyFill="1"/>
    <xf numFmtId="0" fontId="75" fillId="0" borderId="0" xfId="0" applyFont="1" applyAlignment="1"/>
    <xf numFmtId="43" fontId="38" fillId="42" borderId="0" xfId="0" applyNumberFormat="1" applyFont="1" applyFill="1" applyAlignment="1">
      <alignment horizontal="center" vertical="center" wrapText="1"/>
    </xf>
    <xf numFmtId="22" fontId="0" fillId="0" borderId="0" xfId="0" applyNumberFormat="1" applyFill="1"/>
    <xf numFmtId="43" fontId="0" fillId="43" borderId="40" xfId="0" applyNumberFormat="1" applyFont="1" applyFill="1" applyBorder="1" applyAlignment="1">
      <alignment vertical="center" wrapText="1"/>
    </xf>
    <xf numFmtId="43" fontId="0" fillId="43" borderId="0" xfId="0" applyNumberFormat="1" applyFont="1" applyFill="1" applyAlignment="1">
      <alignment wrapText="1"/>
    </xf>
    <xf numFmtId="9" fontId="43" fillId="2" borderId="0" xfId="12" applyNumberFormat="1" applyFont="1" applyFill="1" applyBorder="1" applyAlignment="1">
      <alignment vertical="center" wrapText="1"/>
    </xf>
    <xf numFmtId="0" fontId="0" fillId="0" borderId="0" xfId="0" applyNumberFormat="1" applyFill="1"/>
    <xf numFmtId="4" fontId="0" fillId="0" borderId="0" xfId="0" applyNumberFormat="1" applyFill="1"/>
    <xf numFmtId="9" fontId="0" fillId="0" borderId="0" xfId="0" applyNumberFormat="1" applyFill="1"/>
    <xf numFmtId="0" fontId="0" fillId="0" borderId="0" xfId="0" applyFont="1" applyFill="1"/>
    <xf numFmtId="0" fontId="7" fillId="0" borderId="0" xfId="0" applyFont="1" applyFill="1" applyBorder="1" applyAlignment="1">
      <alignment horizontal="center" vertical="center" wrapText="1"/>
    </xf>
    <xf numFmtId="22" fontId="0" fillId="0" borderId="0" xfId="0" applyNumberFormat="1" applyFont="1" applyFill="1"/>
    <xf numFmtId="43" fontId="35" fillId="2" borderId="0" xfId="0" applyNumberFormat="1" applyFont="1" applyFill="1" applyBorder="1" applyAlignment="1">
      <alignment vertical="center" wrapText="1"/>
    </xf>
    <xf numFmtId="9" fontId="35" fillId="2" borderId="0" xfId="12" applyFont="1" applyFill="1" applyBorder="1" applyAlignment="1">
      <alignment vertical="center" wrapText="1"/>
    </xf>
    <xf numFmtId="0" fontId="75" fillId="8" borderId="40" xfId="0" applyFont="1" applyFill="1" applyBorder="1" applyAlignment="1">
      <alignment horizontal="left" wrapText="1" indent="2"/>
    </xf>
    <xf numFmtId="43" fontId="43" fillId="28" borderId="0" xfId="0" applyNumberFormat="1" applyFont="1" applyFill="1" applyAlignment="1">
      <alignment vertical="center"/>
    </xf>
    <xf numFmtId="43" fontId="43" fillId="44" borderId="0" xfId="0" applyNumberFormat="1" applyFont="1" applyFill="1" applyAlignment="1">
      <alignment vertical="center" wrapText="1"/>
    </xf>
    <xf numFmtId="9" fontId="43" fillId="44" borderId="0" xfId="12" applyFont="1" applyFill="1" applyAlignment="1">
      <alignment vertical="center" wrapText="1"/>
    </xf>
    <xf numFmtId="43" fontId="11" fillId="44" borderId="0" xfId="4" applyNumberFormat="1" applyFill="1" applyAlignment="1">
      <alignment horizontal="center" vertical="center" wrapText="1"/>
    </xf>
    <xf numFmtId="43" fontId="49" fillId="44" borderId="0" xfId="0" applyNumberFormat="1" applyFont="1" applyFill="1" applyAlignment="1">
      <alignment horizontal="center" vertical="center" wrapText="1"/>
    </xf>
    <xf numFmtId="43" fontId="55" fillId="44" borderId="0" xfId="0" applyNumberFormat="1" applyFont="1" applyFill="1" applyAlignment="1">
      <alignment horizontal="right" vertical="center" wrapText="1"/>
    </xf>
    <xf numFmtId="43" fontId="53" fillId="44" borderId="0" xfId="0" applyNumberFormat="1" applyFont="1" applyFill="1" applyAlignment="1">
      <alignment vertical="center" wrapText="1"/>
    </xf>
    <xf numFmtId="43" fontId="11" fillId="44" borderId="0" xfId="4" applyNumberFormat="1" applyFill="1" applyAlignment="1">
      <alignment vertical="center" wrapText="1"/>
    </xf>
  </cellXfs>
  <cellStyles count="15">
    <cellStyle name="20% - Accent5" xfId="10" builtinId="46"/>
    <cellStyle name="60% - Accent3" xfId="8" builtinId="40"/>
    <cellStyle name="60% - Accent6" xfId="11" builtinId="52"/>
    <cellStyle name="Accent1" xfId="13" builtinId="29"/>
    <cellStyle name="Accent2" xfId="7" builtinId="33"/>
    <cellStyle name="Accent5" xfId="9" builtinId="45"/>
    <cellStyle name="Accent6" xfId="5" builtinId="49"/>
    <cellStyle name="Bad" xfId="4" builtinId="27"/>
    <cellStyle name="Check Cell" xfId="3" builtinId="23"/>
    <cellStyle name="Comma" xfId="14" builtinId="3"/>
    <cellStyle name="Good" xfId="1" builtinId="26"/>
    <cellStyle name="Input" xfId="2" builtinId="20"/>
    <cellStyle name="Neutral" xfId="6" builtinId="28"/>
    <cellStyle name="Normal" xfId="0" builtinId="0"/>
    <cellStyle name="Percent" xfId="12" builtinId="5"/>
  </cellStyles>
  <dxfs count="1285">
    <dxf>
      <numFmt numFmtId="13" formatCode="0%"/>
    </dxf>
    <dxf>
      <numFmt numFmtId="4" formatCode="#,##0.00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2"/>
        <family val="2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border outline="0">
        <top style="thin">
          <color rgb="FF8EA9DB"/>
        </top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35" formatCode="_-* #,##0.00_-;\-* #,##0.00_-;_-* &quot;-&quot;??_-;_-@_-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35" formatCode="_-* #,##0.00_-;\-* #,##0.00_-;_-* &quot;-&quot;??_-;_-@_-"/>
      <fill>
        <patternFill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border outline="0">
        <top style="thin">
          <color rgb="FF8EA9DB"/>
        </top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35" formatCode="_-* #,##0.00_-;\-* #,##0.00_-;_-* &quot;-&quot;??_-;_-@_-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35" formatCode="_-* #,##0.00_-;\-* #,##0.00_-;_-* &quot;-&quot;??_-;_-@_-"/>
      <fill>
        <patternFill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border outline="0">
        <top style="thin">
          <color rgb="FF8EA9DB"/>
        </top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35" formatCode="_-* #,##0.00_-;\-* #,##0.00_-;_-* &quot;-&quot;??_-;_-@_-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35" formatCode="_-* #,##0.00_-;\-* #,##0.00_-;_-* &quot;-&quot;??_-;_-@_-"/>
      <fill>
        <patternFill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border outline="0">
        <top style="thin">
          <color rgb="FF8EA9DB"/>
        </top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35" formatCode="_-* #,##0.00_-;\-* #,##0.00_-;_-* &quot;-&quot;??_-;_-@_-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35" formatCode="_-* #,##0.00_-;\-* #,##0.00_-;_-* &quot;-&quot;??_-;_-@_-"/>
      <fill>
        <patternFill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border outline="0">
        <top style="thin">
          <color rgb="FF8EA9DB"/>
        </top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35" formatCode="_-* #,##0.00_-;\-* #,##0.00_-;_-* &quot;-&quot;??_-;_-@_-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35" formatCode="_-* #,##0.00_-;\-* #,##0.00_-;_-* &quot;-&quot;??_-;_-@_-"/>
      <fill>
        <patternFill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theme="9" tint="0.79998168889431442"/>
          <bgColor theme="9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theme="9" tint="0.79998168889431442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theme="9" tint="0.79998168889431442"/>
          <bgColor theme="9" tint="-0.499984740745262"/>
        </patternFill>
      </fill>
      <alignment horizontal="righ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theme="9" tint="0.79998168889431442"/>
          <bgColor theme="0"/>
        </patternFill>
      </fill>
      <alignment horizontal="left" vertical="center" textRotation="0" wrapText="1" indent="2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theme="9" tint="0.79998168889431442"/>
          <bgColor theme="9" tint="-0.499984740745262"/>
        </patternFill>
      </fill>
    </dxf>
    <dxf>
      <border outline="0">
        <bottom style="thin">
          <color theme="9"/>
        </bottom>
      </border>
    </dxf>
    <dxf>
      <numFmt numFmtId="35" formatCode="_-* #,##0.00_-;\-* #,##0.00_-;_-* &quot;-&quot;??_-;_-@_-"/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5" formatCode="_-* #,##0.00_-;\-* #,##0.00_-;_-* &quot;-&quot;??_-;_-@_-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35" formatCode="_-* #,##0.00_-;\-* #,##0.00_-;_-* &quot;-&quot;??_-;_-@_-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border>
        <bottom style="thin">
          <color indexed="64"/>
        </bottom>
      </border>
    </dxf>
    <dxf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center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  <alignment horizontal="general" vertical="bottom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alignment horizontal="center" vertical="center" textRotation="0" wrapText="1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 tint="-0.34998626667073579"/>
        </patternFill>
      </fill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border>
        <bottom style="double">
          <color theme="9"/>
        </bottom>
      </border>
    </dxf>
    <dxf>
      <numFmt numFmtId="35" formatCode="_-* #,##0.00_-;\-* #,##0.00_-;_-* &quot;-&quot;??_-;_-@_-"/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auto="1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auto="1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bottom" textRotation="0" wrapText="1" indent="2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5" formatCode="_-* #,##0.00_-;\-* #,##0.00_-;_-* &quot;-&quot;??_-;_-@_-"/>
    </dxf>
    <dxf>
      <border outline="0">
        <top style="thin">
          <color theme="4" tint="0.39997558519241921"/>
        </top>
      </border>
    </dxf>
    <dxf>
      <numFmt numFmtId="35" formatCode="_-* #,##0.00_-;\-* #,##0.00_-;_-* &quot;-&quot;??_-;_-@_-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numFmt numFmtId="35" formatCode="_-* #,##0.00_-;\-* #,##0.00_-;_-* &quot;-&quot;??_-;_-@_-"/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A5A5A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3F3F3F"/>
        </left>
        <right style="double">
          <color rgb="FF3F3F3F"/>
        </right>
        <top/>
        <bottom style="double">
          <color rgb="FF3F3F3F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numFmt numFmtId="35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:mm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border outline="0">
        <top style="thin">
          <color rgb="FF7F7F7F"/>
        </top>
      </border>
    </dxf>
    <dxf>
      <border outline="0"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76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9"/>
        <name val="Corbel"/>
        <family val="2"/>
        <scheme val="none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2"/>
        <color theme="0" tint="-0.499984740745262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 tint="-0.499984740745262"/>
        </patternFill>
      </fill>
    </dxf>
    <dxf>
      <border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 tint="-0.249977111117893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 tint="-0.499984740745262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 tint="-0.49998474074526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bottom" textRotation="0" wrapText="0" relative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2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border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orbel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theme="0" tint="-0.499984740745262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7C80"/>
      <color rgb="FF227447"/>
      <color rgb="FF134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OPERATING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627240950089199"/>
          <c:y val="0.16191061102981186"/>
          <c:w val="0.79740958997175582"/>
          <c:h val="0.7620623255446735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796-48F5-A3AA-C6326237D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Dashboard!$G$35:$G$39</c:f>
              <c:strCache>
                <c:ptCount val="5"/>
                <c:pt idx="0">
                  <c:v> COLLECTION AND TRANSPORT: DELEGATED </c:v>
                </c:pt>
                <c:pt idx="1">
                  <c:v> ADMINISTRATION </c:v>
                </c:pt>
                <c:pt idx="2">
                  <c:v> COLLECTION &amp; TRANSPORT </c:v>
                </c:pt>
                <c:pt idx="3">
                  <c:v> FINAL DISPOSAL </c:v>
                </c:pt>
                <c:pt idx="4">
                  <c:v> PUBLIC AWARENESS </c:v>
                </c:pt>
              </c:strCache>
            </c:strRef>
          </c:cat>
          <c:val>
            <c:numRef>
              <c:f>Dashboard!$I$35:$I$39</c:f>
              <c:numCache>
                <c:formatCode>0%</c:formatCode>
                <c:ptCount val="5"/>
                <c:pt idx="0">
                  <c:v>0.31218111252176622</c:v>
                </c:pt>
                <c:pt idx="1">
                  <c:v>1.7102113826909078E-2</c:v>
                </c:pt>
                <c:pt idx="2">
                  <c:v>0.40117005286727137</c:v>
                </c:pt>
                <c:pt idx="3">
                  <c:v>0.26871423781732867</c:v>
                </c:pt>
                <c:pt idx="4">
                  <c:v>8.3248296672470989E-4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96-48F5-A3AA-C6326237DFD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FINANCIAL</a:t>
            </a:r>
            <a:r>
              <a:rPr lang="en-PH" baseline="0"/>
              <a:t> RESOURCES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04B-4517-899B-F6F8EA5ED43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Dashboard!$B$35:$B$37</c:f>
              <c:strCache>
                <c:ptCount val="3"/>
                <c:pt idx="0">
                  <c:v> GARBAGE FEE </c:v>
                </c:pt>
                <c:pt idx="1">
                  <c:v> LANDFILL FEE </c:v>
                </c:pt>
                <c:pt idx="2">
                  <c:v> SALE FROM IN-SITU RECYCLING </c:v>
                </c:pt>
              </c:strCache>
            </c:strRef>
          </c:cat>
          <c:val>
            <c:numRef>
              <c:f>Dashboard!$D$35:$D$37</c:f>
              <c:numCache>
                <c:formatCode>0%</c:formatCode>
                <c:ptCount val="3"/>
                <c:pt idx="0">
                  <c:v>0.161277316345456</c:v>
                </c:pt>
                <c:pt idx="1">
                  <c:v>8.0638658172728012E-5</c:v>
                </c:pt>
                <c:pt idx="2">
                  <c:v>3.2255463269091206E-2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7A-48CE-932E-B4C2F5C3305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OPERATING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627240950089199"/>
          <c:y val="0.16191061102981186"/>
          <c:w val="0.79740958997175582"/>
          <c:h val="0.7620623255446735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6F3-4988-8C8A-F1C7B762EB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6F3-4988-8C8A-F1C7B762EB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6F3-4988-8C8A-F1C7B762EB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6F3-4988-8C8A-F1C7B762EB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6F3-4988-8C8A-F1C7B762EB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DirtySheet_140427!$G$35:$G$39</c:f>
              <c:strCache>
                <c:ptCount val="5"/>
                <c:pt idx="0">
                  <c:v> COLLECTION AND TRANSPORT: DELEGATED </c:v>
                </c:pt>
                <c:pt idx="1">
                  <c:v> ADMINISTRATION </c:v>
                </c:pt>
                <c:pt idx="2">
                  <c:v> COLLECTION &amp; TRANSPORT </c:v>
                </c:pt>
                <c:pt idx="3">
                  <c:v> FINAL DISPOSAL </c:v>
                </c:pt>
                <c:pt idx="4">
                  <c:v> PUBLIC AWARENESS </c:v>
                </c:pt>
              </c:strCache>
            </c:strRef>
          </c:cat>
          <c:val>
            <c:numRef>
              <c:f>DirtySheet_140427!$I$35:$I$39</c:f>
              <c:numCache>
                <c:formatCode>0%</c:formatCode>
                <c:ptCount val="5"/>
                <c:pt idx="0">
                  <c:v>0.31218111252176622</c:v>
                </c:pt>
                <c:pt idx="1">
                  <c:v>1.7102113826909078E-2</c:v>
                </c:pt>
                <c:pt idx="2">
                  <c:v>0.40117005286727137</c:v>
                </c:pt>
                <c:pt idx="3">
                  <c:v>0.26871423781732867</c:v>
                </c:pt>
                <c:pt idx="4">
                  <c:v>8.3248296672470989E-4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F3-4988-8C8A-F1C7B762EB9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FINANCIAL</a:t>
            </a:r>
            <a:r>
              <a:rPr lang="en-PH" baseline="0"/>
              <a:t> RESOURCES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14-45FD-940A-6565F61282B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14-45FD-940A-6565F61282B1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14-45FD-940A-6565F61282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DirtySheet_140427!$B$35:$B$37</c:f>
              <c:strCache>
                <c:ptCount val="3"/>
                <c:pt idx="0">
                  <c:v> GARBAGE FEE </c:v>
                </c:pt>
                <c:pt idx="1">
                  <c:v> LANDFILL FEE </c:v>
                </c:pt>
                <c:pt idx="2">
                  <c:v> SALE FROM IN-SITU RECYCLING </c:v>
                </c:pt>
              </c:strCache>
            </c:strRef>
          </c:cat>
          <c:val>
            <c:numRef>
              <c:f>DirtySheet_140427!$D$35:$D$37</c:f>
              <c:numCache>
                <c:formatCode>0%</c:formatCode>
                <c:ptCount val="3"/>
                <c:pt idx="0">
                  <c:v>0.161277316345456</c:v>
                </c:pt>
                <c:pt idx="1">
                  <c:v>8.0638658172728012E-5</c:v>
                </c:pt>
                <c:pt idx="2">
                  <c:v>3.2255463269091206E-2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14-45FD-940A-6565F61282B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180975</xdr:rowOff>
        </xdr:from>
        <xdr:to>
          <xdr:col>7</xdr:col>
          <xdr:colOff>962025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4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 BELOW</a:t>
              </a: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171450</xdr:rowOff>
        </xdr:from>
        <xdr:to>
          <xdr:col>8</xdr:col>
          <xdr:colOff>1524000</xdr:colOff>
          <xdr:row>2</xdr:row>
          <xdr:rowOff>47625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4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28575</xdr:rowOff>
        </xdr:from>
        <xdr:to>
          <xdr:col>5</xdr:col>
          <xdr:colOff>1066800</xdr:colOff>
          <xdr:row>6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▶  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11</xdr:row>
          <xdr:rowOff>76200</xdr:rowOff>
        </xdr:from>
        <xdr:to>
          <xdr:col>3</xdr:col>
          <xdr:colOff>419100</xdr:colOff>
          <xdr:row>13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2933700</xdr:colOff>
          <xdr:row>1</xdr:row>
          <xdr:rowOff>152400</xdr:rowOff>
        </xdr:from>
        <xdr:to>
          <xdr:col>7</xdr:col>
          <xdr:colOff>1685925</xdr:colOff>
          <xdr:row>3</xdr:row>
          <xdr:rowOff>57150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6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FJ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⟲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</xdr:row>
          <xdr:rowOff>142875</xdr:rowOff>
        </xdr:from>
        <xdr:to>
          <xdr:col>11</xdr:col>
          <xdr:colOff>57150</xdr:colOff>
          <xdr:row>3</xdr:row>
          <xdr:rowOff>104775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6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FJ" sz="1200" b="1" i="0" u="none" strike="noStrike" baseline="0">
                  <a:solidFill>
                    <a:srgbClr val="000000"/>
                  </a:solidFill>
                  <a:latin typeface="Corbel"/>
                </a:rPr>
                <a:t> CREATE DIRTY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13608</xdr:colOff>
      <xdr:row>8</xdr:row>
      <xdr:rowOff>204107</xdr:rowOff>
    </xdr:from>
    <xdr:to>
      <xdr:col>8</xdr:col>
      <xdr:colOff>1700894</xdr:colOff>
      <xdr:row>29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47BEC6B-B1EB-4A18-ACBE-D8ABB6B518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67235</xdr:colOff>
      <xdr:row>8</xdr:row>
      <xdr:rowOff>212912</xdr:rowOff>
    </xdr:from>
    <xdr:to>
      <xdr:col>3</xdr:col>
      <xdr:colOff>1006929</xdr:colOff>
      <xdr:row>29</xdr:row>
      <xdr:rowOff>33618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C027C48-FB05-2855-BE03-162A31DF2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152400</xdr:rowOff>
        </xdr:from>
        <xdr:to>
          <xdr:col>6</xdr:col>
          <xdr:colOff>123825</xdr:colOff>
          <xdr:row>2</xdr:row>
          <xdr:rowOff>104775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7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0</xdr:row>
          <xdr:rowOff>152400</xdr:rowOff>
        </xdr:from>
        <xdr:to>
          <xdr:col>7</xdr:col>
          <xdr:colOff>523875</xdr:colOff>
          <xdr:row>2</xdr:row>
          <xdr:rowOff>104775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7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180975</xdr:rowOff>
        </xdr:from>
        <xdr:to>
          <xdr:col>7</xdr:col>
          <xdr:colOff>962025</xdr:colOff>
          <xdr:row>2</xdr:row>
          <xdr:rowOff>57150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FA5C0CDF-7760-45E3-AA84-E9F5AF45B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 BELOW</a:t>
              </a: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171450</xdr:rowOff>
        </xdr:from>
        <xdr:to>
          <xdr:col>8</xdr:col>
          <xdr:colOff>1524000</xdr:colOff>
          <xdr:row>2</xdr:row>
          <xdr:rowOff>47625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3DA9C474-D5C5-4B32-A11C-A27AA43D6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180975</xdr:rowOff>
        </xdr:from>
        <xdr:to>
          <xdr:col>7</xdr:col>
          <xdr:colOff>962025</xdr:colOff>
          <xdr:row>2</xdr:row>
          <xdr:rowOff>57150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86DD0343-151D-4E65-86AC-C123B9DD5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 BELOW</a:t>
              </a: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171450</xdr:rowOff>
        </xdr:from>
        <xdr:to>
          <xdr:col>8</xdr:col>
          <xdr:colOff>1524000</xdr:colOff>
          <xdr:row>2</xdr:row>
          <xdr:rowOff>47625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43F951DA-AB85-4498-B6AE-4DAA0BDE8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180975</xdr:rowOff>
        </xdr:from>
        <xdr:to>
          <xdr:col>7</xdr:col>
          <xdr:colOff>962025</xdr:colOff>
          <xdr:row>2</xdr:row>
          <xdr:rowOff>57150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8FEE3E95-D070-442B-95C2-B03397B8E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 BELOW</a:t>
              </a: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171450</xdr:rowOff>
        </xdr:from>
        <xdr:to>
          <xdr:col>8</xdr:col>
          <xdr:colOff>1524000</xdr:colOff>
          <xdr:row>2</xdr:row>
          <xdr:rowOff>47625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DD78A1B1-6C34-4DC2-A087-6A8964851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180975</xdr:rowOff>
        </xdr:from>
        <xdr:to>
          <xdr:col>7</xdr:col>
          <xdr:colOff>962025</xdr:colOff>
          <xdr:row>2</xdr:row>
          <xdr:rowOff>57150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58C314E0-4FD0-4C06-A8F4-044BB8D0A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 BELOW</a:t>
              </a: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171450</xdr:rowOff>
        </xdr:from>
        <xdr:to>
          <xdr:col>8</xdr:col>
          <xdr:colOff>1524000</xdr:colOff>
          <xdr:row>2</xdr:row>
          <xdr:rowOff>47625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AF5FC87F-11D9-4FB8-8E80-2DA950C2E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180975</xdr:rowOff>
        </xdr:from>
        <xdr:to>
          <xdr:col>7</xdr:col>
          <xdr:colOff>962025</xdr:colOff>
          <xdr:row>2</xdr:row>
          <xdr:rowOff>57150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207F03B7-7F92-4962-8672-7740C04C7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 BELOW</a:t>
              </a: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FJ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1295400</xdr:colOff>
          <xdr:row>0</xdr:row>
          <xdr:rowOff>171450</xdr:rowOff>
        </xdr:from>
        <xdr:to>
          <xdr:col>8</xdr:col>
          <xdr:colOff>1524000</xdr:colOff>
          <xdr:row>2</xdr:row>
          <xdr:rowOff>47625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D4BB3E0D-8FD3-4BA3-AE5F-900E07814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FJ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2933700</xdr:colOff>
          <xdr:row>1</xdr:row>
          <xdr:rowOff>152400</xdr:rowOff>
        </xdr:from>
        <xdr:to>
          <xdr:col>7</xdr:col>
          <xdr:colOff>1685925</xdr:colOff>
          <xdr:row>3</xdr:row>
          <xdr:rowOff>57150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A60DB25C-053C-420D-A5FE-44E61A25A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FJ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⟲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</xdr:row>
          <xdr:rowOff>142875</xdr:rowOff>
        </xdr:from>
        <xdr:to>
          <xdr:col>11</xdr:col>
          <xdr:colOff>57150</xdr:colOff>
          <xdr:row>3</xdr:row>
          <xdr:rowOff>104775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C86A3767-9F19-44A5-900B-7EC454749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FJ" sz="1200" b="1" i="0" u="none" strike="noStrike" baseline="0">
                  <a:solidFill>
                    <a:srgbClr val="000000"/>
                  </a:solidFill>
                  <a:latin typeface="Corbel"/>
                </a:rPr>
                <a:t> CREATE DIRTY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13608</xdr:colOff>
      <xdr:row>8</xdr:row>
      <xdr:rowOff>204107</xdr:rowOff>
    </xdr:from>
    <xdr:to>
      <xdr:col>8</xdr:col>
      <xdr:colOff>1700894</xdr:colOff>
      <xdr:row>29</xdr:row>
      <xdr:rowOff>33618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D6320D-846B-4573-90C5-2DA1A44BD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67235</xdr:colOff>
      <xdr:row>8</xdr:row>
      <xdr:rowOff>212912</xdr:rowOff>
    </xdr:from>
    <xdr:to>
      <xdr:col>3</xdr:col>
      <xdr:colOff>1006929</xdr:colOff>
      <xdr:row>29</xdr:row>
      <xdr:rowOff>33618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F091AA-D0EA-4123-907D-4AF7F457A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C419C0A2-BA18-4254-896B-DD08A2B4CC65}" name="tblSysTables" displayName="tblSysTables" ref="A1:E36" totalsRowShown="0" headerRowDxfId="1256" headerRowBorderDxfId="1255" tableBorderDxfId="1254" headerRowCellStyle="Input" dataCellStyle="Normal">
  <autoFilter ref="A1:E36" xr:uid="{C419C0A2-BA18-4254-896B-DD08A2B4CC65}"/>
  <tableColumns count="5">
    <tableColumn id="1" xr3:uid="{22C6E39E-69DC-4215-80F6-64063C32BD73}" name="TableID" dataCellStyle="Normal"/>
    <tableColumn id="2" xr3:uid="{CC7088A6-0CAD-4357-9ED7-894AAC5687B2}" name="SheetID" dataCellStyle="Normal"/>
    <tableColumn id="3" xr3:uid="{3E0B4131-C163-4990-8D5A-FD823CBE9BF6}" name="SheetName" dataCellStyle="Normal"/>
    <tableColumn id="4" xr3:uid="{3EBDECCF-5513-4062-880C-17BEEB725CC8}" name="TableName" dataCellStyle="Normal"/>
    <tableColumn id="5" xr3:uid="{70E9A02F-8133-4309-92B9-44CFF722545C}" name="TableObjectName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56C918D0-CFAA-4869-99BB-E7827687E091}" name="tblSysSheets" displayName="tblSysSheets" ref="A1:D6" totalsRowShown="0" headerRowDxfId="1253" headerRowCellStyle="Good" dataCellStyle="Normal">
  <autoFilter ref="A1:D6" xr:uid="{56C918D0-CFAA-4869-99BB-E7827687E091}"/>
  <tableColumns count="4">
    <tableColumn id="1" xr3:uid="{BA2C0006-2534-4741-B607-5480EE260E57}" name="SheetID" dataCellStyle="Normal"/>
    <tableColumn id="2" xr3:uid="{C3706897-8903-435B-8CEC-487CBC3B6BFC}" name="SheetName" dataCellStyle="Normal"/>
    <tableColumn id="3" xr3:uid="{136B245E-579B-40EA-9036-D03805255AA9}" name="TemplateType" dataCellStyle="Normal"/>
    <tableColumn id="4" xr3:uid="{6C6676D4-97B7-4E94-B053-79EBE470E425}" name="DateCreated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17B4F6E-0138-4FA1-B797-CEF3182A4CB8}" name="tblDBSummary" displayName="tblDBSummary" ref="A1:E16" totalsRowShown="0" headerRowDxfId="1252" dataDxfId="1251">
  <autoFilter ref="A1:E16" xr:uid="{F17B4F6E-0138-4FA1-B797-CEF3182A4CB8}"/>
  <tableColumns count="5">
    <tableColumn id="1" xr3:uid="{2E92A9FD-19B5-48EF-B4AC-2A3F59BFBE4B}" name="SheetID" dataDxfId="1250"/>
    <tableColumn id="6" xr3:uid="{F2233FFD-AAD1-482A-A666-D3B45A464EF6}" name="Category" dataDxfId="1249"/>
    <tableColumn id="3" xr3:uid="{D06FA6E5-C6A3-412B-99B9-C4C546152F33}" name="Label" dataDxfId="1248"/>
    <tableColumn id="4" xr3:uid="{E11753BD-979E-462E-939A-DD538C2F6A47}" name="Amount" dataDxfId="1247"/>
    <tableColumn id="5" xr3:uid="{A1E283D0-9B3F-4B37-8470-1AD9CADB5FB4}" name="LastUpdated" dataDxfId="12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36CD9C4-B704-43B2-8D3C-0E13EBEC87E9}" name="tblDBFRsummary" displayName="tblDBFRsummary" ref="A21:E25" totalsRowShown="0" headerRowDxfId="1245" dataDxfId="1243" headerRowBorderDxfId="1244" tableBorderDxfId="1242" dataCellStyle="Normal">
  <autoFilter ref="A21:E25" xr:uid="{236CD9C4-B704-43B2-8D3C-0E13EBEC87E9}"/>
  <tableColumns count="5">
    <tableColumn id="1" xr3:uid="{2EFB76D6-CFB8-4D78-AD16-F635F089E61E}" name="Category" dataDxfId="1241" dataCellStyle="Normal"/>
    <tableColumn id="5" xr3:uid="{D1729D22-3ECE-4ACF-9435-1309F0BF3535}" name="Type" dataDxfId="1240"/>
    <tableColumn id="2" xr3:uid="{1BF389D4-6616-47D1-A2CE-370A8B9D205C}" name="Label" dataDxfId="1239" dataCellStyle="Normal"/>
    <tableColumn id="3" xr3:uid="{CC7F6154-5F8B-464F-8EC2-7229508FE154}" name="Amount" dataDxfId="1238" dataCellStyle="Normal"/>
    <tableColumn id="4" xr3:uid="{CFF31DFE-66FC-44B3-8A95-ABC2096FB6E5}" name="Timestamp" dataDxfId="1237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706A83-0B53-4719-9458-52CDE877EC5E}" name="OPEX_COSTS" displayName="OPEX_COSTS" ref="C38:F66" totalsRowCount="1" headerRowDxfId="1236" dataDxfId="1234" totalsRowDxfId="1232" headerRowBorderDxfId="1235" tableBorderDxfId="1233" headerRowCellStyle="Accent1" dataCellStyle="Normal" totalsRowCellStyle="Check Cell">
  <autoFilter ref="C38:F65" xr:uid="{17706A83-0B53-4719-9458-52CDE877EC5E}"/>
  <tableColumns count="4">
    <tableColumn id="1" xr3:uid="{62E16B2C-4E82-4AD1-9667-5A7A9C4AFC6E}" name="NO." totalsRowLabel="Total" dataDxfId="1231" totalsRowDxfId="1230" dataCellStyle="Normal"/>
    <tableColumn id="2" xr3:uid="{BC0D3AE3-3D59-4D83-8F92-3AD6674D6EF3}" name="Description" dataDxfId="1229" totalsRowDxfId="1228" dataCellStyle="Normal"/>
    <tableColumn id="3" xr3:uid="{CFE73965-EC33-4EDF-9403-35F7BA5697DD}" name="Total Annual Cost" totalsRowFunction="sum" dataDxfId="1227" totalsRowDxfId="1226" dataCellStyle="Normal"/>
    <tableColumn id="4" xr3:uid="{3449F043-6BB4-4230-9F5B-D4278F9F71B4}" name="Remarks" dataDxfId="1225" totalsRowDxfId="1224" dataCellStyle="Normal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34AFE9-FBC1-45C5-B105-C38564F67F5D}" name="OTHER_COST" displayName="OTHER_COST" ref="C72:H80" totalsRowCount="1" headerRowDxfId="1223" dataDxfId="1221" totalsRowDxfId="1219" headerRowBorderDxfId="1222" tableBorderDxfId="1220" headerRowCellStyle="Accent1" dataCellStyle="Normal" totalsRowCellStyle="Check Cell">
  <autoFilter ref="C72:H79" xr:uid="{C534AFE9-FBC1-45C5-B105-C38564F67F5D}"/>
  <tableColumns count="6">
    <tableColumn id="1" xr3:uid="{9795C930-0DC5-475C-AB0D-262D23035BC6}" name="NO" totalsRowLabel="Total" dataDxfId="1218" totalsRowDxfId="1217" dataCellStyle="Normal" totalsRowCellStyle="Check Cell"/>
    <tableColumn id="2" xr3:uid="{74D30562-BA47-4E40-B2B4-7842473937D5}" name="Description" dataDxfId="1216" totalsRowDxfId="1215" dataCellStyle="Normal" totalsRowCellStyle="Check Cell"/>
    <tableColumn id="3" xr3:uid="{0C2A792B-7C71-4996-A47C-4DBD9AD8500D}" name="Cost per Unit" dataDxfId="1214" totalsRowDxfId="1213" dataCellStyle="Normal" totalsRowCellStyle="Check Cell"/>
    <tableColumn id="4" xr3:uid="{7B990000-CB16-4BEF-B3A8-E3AE6FB23053}" name="Units" dataDxfId="1212" totalsRowDxfId="1211" dataCellStyle="Normal" totalsRowCellStyle="Check Cell"/>
    <tableColumn id="5" xr3:uid="{3A2308E1-1C47-4A70-96CD-0A50ED9C616F}" name="Total Annual Cost" totalsRowFunction="sum" dataDxfId="1210" totalsRowDxfId="1209" dataCellStyle="Normal" totalsRowCellStyle="Check Cell"/>
    <tableColumn id="6" xr3:uid="{50EDF377-463B-4AD2-A4EB-A3898F01C051}" name="Remarks" dataDxfId="1208" totalsRowDxfId="1207" dataCellStyle="Normal" totalsRowCellStyle="Check Cell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F1DF58-CBE1-4D69-A664-C715FDC27514}" name="DEPRECIATION" displayName="DEPRECIATION" ref="C86:N94" totalsRowCount="1" headerRowDxfId="1206" dataDxfId="1204" totalsRowDxfId="1202" headerRowBorderDxfId="1205" tableBorderDxfId="1203" headerRowCellStyle="Accent1" dataCellStyle="Normal" totalsRowCellStyle="Check Cell">
  <autoFilter ref="C86:N93" xr:uid="{07F1DF58-CBE1-4D69-A664-C715FDC27514}"/>
  <tableColumns count="12">
    <tableColumn id="1" xr3:uid="{7ACC4306-86FA-43B2-9BA0-D43712EEDF21}" name="No." totalsRowLabel="Total" dataDxfId="1201" totalsRowDxfId="1200" dataCellStyle="Normal"/>
    <tableColumn id="2" xr3:uid="{167D16BA-14DC-4488-B7CF-305A7480118C}" name="Description" dataDxfId="1199" totalsRowDxfId="1198" dataCellStyle="Normal"/>
    <tableColumn id="3" xr3:uid="{92A3C435-E5DD-448C-8D86-BA078B786314}" name="Year Acquired" dataDxfId="1197" totalsRowDxfId="1196" dataCellStyle="Normal"/>
    <tableColumn id="4" xr3:uid="{FDF04C1E-3BBB-44C7-A190-FE845DFA22E8}" name="Initial Cost If Purchased or Value of Granted Asset" dataDxfId="1195" totalsRowDxfId="1194" dataCellStyle="Normal"/>
    <tableColumn id="5" xr3:uid="{F6955631-D4F2-4F56-9B1B-EAE98C953581}" name="Salvage Value" dataDxfId="1193" totalsRowDxfId="1192" dataCellStyle="Normal"/>
    <tableColumn id="6" xr3:uid="{C0D4D165-19CB-44E9-8D1E-8D97576D6908}" name="Depreciable Cost" totalsRowFunction="sum" dataDxfId="1191" totalsRowDxfId="1190" dataCellStyle="Normal">
      <calculatedColumnFormula>DEPRECIATION[[#This Row],[Initial Cost If Purchased or Value of Granted Asset]]-DEPRECIATION[[#This Row],[Salvage Value]]</calculatedColumnFormula>
    </tableColumn>
    <tableColumn id="7" xr3:uid="{AD2065F8-131F-41C8-A33E-51076D86B249}" name="Useful Life" dataDxfId="1189" totalsRowDxfId="1188" dataCellStyle="Normal"/>
    <tableColumn id="8" xr3:uid="{F5CFB9CB-25B5-4D25-AD71-F3B1373ED0C4}" name="Number of Assets" dataDxfId="1187" totalsRowDxfId="1186" dataCellStyle="Normal"/>
    <tableColumn id="9" xr3:uid="{AA6716E8-364F-4B97-A33B-ED32C23FE276}" name="Annual Depreciation" dataDxfId="1185" totalsRowDxfId="1184" dataCellStyle="Normal">
      <calculatedColumnFormula>IFERROR(DEPRECIATION[[#This Row],[Depreciable Cost]]/DEPRECIATION[[#This Row],[Useful Life]], 0)</calculatedColumnFormula>
    </tableColumn>
    <tableColumn id="13" xr3:uid="{1702ED8C-8FCC-4472-ACDF-2DBE1E2AB979}" name="Exceeded useful life" dataDxfId="1183" totalsRowDxfId="1182"/>
    <tableColumn id="10" xr3:uid="{F502005C-26EA-492E-A639-60A32B855F71}" name="Total Depreciation" totalsRowFunction="sum" dataDxfId="1181" totalsRowDxfId="1180" dataCellStyle="Normal">
      <calculatedColumnFormula>IF(DEPRECIATION[[#This Row],[Exceeded useful life]]="YES",0,IFERROR(DEPRECIATION[[#This Row],[Number of Assets]]*DEPRECIATION[[#This Row],[Annual Depreciation]],0))</calculatedColumnFormula>
    </tableColumn>
    <tableColumn id="11" xr3:uid="{D378CE6B-C9B3-49EB-B893-80393626191F}" name="Remarks" dataDxfId="1179" totalsRowDxfId="1178" dataCellStyle="Normal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A17D39-1767-4998-A9CA-B811ECBCFD3A}" name="PERSONNEL_REGULAR" displayName="PERSONNEL_REGULAR" ref="C8:P19" totalsRowCount="1" headerRowDxfId="1177" dataDxfId="1176" totalsRowDxfId="1174" tableBorderDxfId="1175" headerRowCellStyle="Accent1" dataCellStyle="Normal" totalsRowCellStyle="Check Cell">
  <autoFilter ref="C8:P18" xr:uid="{D8A17D39-1767-4998-A9CA-B811ECBCFD3A}"/>
  <tableColumns count="14">
    <tableColumn id="1" xr3:uid="{34EA2AC5-3E0E-4A08-8A74-3B949472EAE1}" name="NO." totalsRowLabel="Total" dataDxfId="1173" totalsRowDxfId="1172" dataCellStyle="Normal"/>
    <tableColumn id="2" xr3:uid="{4DF5E784-322C-4478-92CB-06F17FF96842}" name="Name" dataDxfId="1171" totalsRowDxfId="1170" dataCellStyle="Normal"/>
    <tableColumn id="3" xr3:uid="{0DB195FF-6449-4739-9F8B-55C9374CB80D}" name="Official Designation" dataDxfId="1169" totalsRowDxfId="1168" dataCellStyle="Normal"/>
    <tableColumn id="4" xr3:uid="{D383A31D-2DAB-43B2-9B1F-9E4F0C0EB5C9}" name="Annual Salary" totalsRowFunction="sum" dataDxfId="1167" totalsRowDxfId="1166" dataCellStyle="Normal"/>
    <tableColumn id="5" xr3:uid="{300D9EE8-8567-4CE6-98AA-479799EC88E9}" name="Benefit/Contribution (1)" totalsRowFunction="sum" dataDxfId="1165" totalsRowDxfId="1164" dataCellStyle="Normal"/>
    <tableColumn id="6" xr3:uid="{1BDB3B6C-964E-450F-8881-014688F9B45F}" name="Benefit/Contribution (2)" totalsRowFunction="sum" dataDxfId="1163" totalsRowDxfId="1162" dataCellStyle="Normal"/>
    <tableColumn id="14" xr3:uid="{B2A86F0B-A1DA-4CD9-B645-BF26ED3478E8}" name="Benefit/Contribution (3)" totalsRowFunction="sum" dataDxfId="1161" totalsRowDxfId="1160" dataCellStyle="Normal"/>
    <tableColumn id="13" xr3:uid="{8D63408F-A63E-401E-B763-2F24620BEEAA}" name="Benefit/Contribution (4)" totalsRowFunction="sum" dataDxfId="1159" totalsRowDxfId="1158" dataCellStyle="Normal"/>
    <tableColumn id="7" xr3:uid="{FD26EE9A-B3B2-41F5-B2CF-57034975A06F}" name="Benefit/Contribution (5)" totalsRowFunction="sum" dataDxfId="1157" totalsRowDxfId="1156" dataCellStyle="Normal"/>
    <tableColumn id="8" xr3:uid="{01064CC3-9ACA-4A0C-916A-B6A695333380}" name="Other Benefits" totalsRowFunction="sum" dataDxfId="1155" totalsRowDxfId="1154" dataCellStyle="Normal"/>
    <tableColumn id="9" xr3:uid="{41DABC73-1B16-4CF1-A26A-DE997BB8EFDD}" name="Estimated % Time Allocation" dataDxfId="1153" totalsRowDxfId="1152" dataCellStyle="Percent"/>
    <tableColumn id="10" xr3:uid="{0E8401B9-A1DD-4F54-8A82-B332EC7EFECB}" name="Total Yearly Personnel Expense" totalsRowFunction="sum" dataDxfId="1151" totalsRowDxfId="1150" dataCellStyle="Normal">
      <calculatedColumnFormula>SUM(F9:L9)*M9</calculatedColumnFormula>
    </tableColumn>
    <tableColumn id="11" xr3:uid="{021D5724-05E8-4869-8C22-B23D73F462C5}" name="Specific Tasks" dataDxfId="1149" totalsRowDxfId="1148" dataCellStyle="Normal"/>
    <tableColumn id="12" xr3:uid="{1A2B3DA8-7AD2-48DC-ACEC-DC06292F0036}" name="Remarks" dataDxfId="1147" totalsRowDxfId="1146" dataCellStyle="Normal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592270-3747-4A2D-A8F0-479481BD52E2}" name="PERSONNEL_CONTRACTUAL" displayName="PERSONNEL_CONTRACTUAL" ref="C24:P31" totalsRowCount="1" headerRowDxfId="1145" dataDxfId="1144" totalsRowDxfId="1142" tableBorderDxfId="1143" headerRowCellStyle="Accent1" dataCellStyle="Normal" totalsRowCellStyle="Check Cell">
  <autoFilter ref="C24:P30" xr:uid="{61592270-3747-4A2D-A8F0-479481BD52E2}"/>
  <tableColumns count="14">
    <tableColumn id="1" xr3:uid="{95C806BA-C346-4D3D-9EDD-73D7A0B98625}" name="NO." totalsRowLabel="Total" dataDxfId="1141" totalsRowDxfId="1140" dataCellStyle="Normal"/>
    <tableColumn id="2" xr3:uid="{92BDD7A8-BCE0-4BC0-9243-D9CE716EF8E1}" name="Name" dataDxfId="1139" totalsRowDxfId="1138" dataCellStyle="Normal"/>
    <tableColumn id="3" xr3:uid="{17AE62AC-0B18-41D6-8CD1-20351E855B74}" name="Official Designation" dataDxfId="1137" totalsRowDxfId="1136" dataCellStyle="Normal"/>
    <tableColumn id="4" xr3:uid="{98051A6D-1CBD-4DB5-A8AC-F1A73B844EE1}" name="Annual Salary" totalsRowFunction="sum" dataDxfId="1135" totalsRowDxfId="1134" dataCellStyle="Normal"/>
    <tableColumn id="5" xr3:uid="{273F98EA-C0E8-4F25-A2F0-C4C4EA0B9774}" name="Benefit/Contribution (1)" totalsRowFunction="sum" dataDxfId="1133" totalsRowDxfId="1132" dataCellStyle="Normal"/>
    <tableColumn id="6" xr3:uid="{6C9AC054-402E-4232-AA3A-A9B2EFDFBB12}" name="Benefit/Contribution (2)" totalsRowFunction="sum" dataDxfId="1131" totalsRowDxfId="1130" dataCellStyle="Normal"/>
    <tableColumn id="14" xr3:uid="{CA05B8E5-D52A-437D-A156-D12CFA09A8F3}" name="Benefit/Contribution (3)" totalsRowFunction="sum" dataDxfId="1129" totalsRowDxfId="1128" dataCellStyle="Normal"/>
    <tableColumn id="13" xr3:uid="{982AA14D-1522-4753-BF21-04412FABA16B}" name="Benefit/Contribution (4)" totalsRowFunction="sum" dataDxfId="1127" totalsRowDxfId="1126" dataCellStyle="Normal"/>
    <tableColumn id="7" xr3:uid="{57E0ED99-A8A3-422B-ADE3-4B6D5BADE9AB}" name="Benefit/Contribution (5)" totalsRowFunction="sum" dataDxfId="1125" totalsRowDxfId="1124" dataCellStyle="Normal"/>
    <tableColumn id="8" xr3:uid="{45A3E0D2-21FC-4083-9263-F55AF9A8896F}" name="Other Benefits" totalsRowFunction="sum" dataDxfId="1123" totalsRowDxfId="1122" dataCellStyle="Normal"/>
    <tableColumn id="9" xr3:uid="{4D9D9BBE-F906-4F85-8A98-E8D837D63615}" name="Estimated % Time Allocation" dataDxfId="1121" totalsRowDxfId="1120" dataCellStyle="Percent"/>
    <tableColumn id="10" xr3:uid="{1AC346E1-58D7-48A5-AAA2-5115B2F36E03}" name="Total Yearly Personnel Expense" totalsRowFunction="sum" dataDxfId="1119" totalsRowDxfId="1118" dataCellStyle="Normal">
      <calculatedColumnFormula>SUM(F25:L25)*M25</calculatedColumnFormula>
    </tableColumn>
    <tableColumn id="11" xr3:uid="{6C643B31-4807-452A-9831-59355853E3D4}" name="Specific Tasks" dataDxfId="1117" totalsRowDxfId="1116" dataCellStyle="Normal"/>
    <tableColumn id="12" xr3:uid="{CE1C32C6-EDB4-4017-AB33-BF8960F675AE}" name="Remarks" dataDxfId="1115" totalsRowDxfId="1114" dataCellStyle="Normal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063D752-8E6D-48F9-B731-803B46E1AD00}" name="tblSummaryCash" displayName="tblSummaryCash" ref="D103:E106" totalsRowCount="1" headerRowDxfId="1113" dataDxfId="1112" totalsRowDxfId="1111">
  <autoFilter ref="D103:E105" xr:uid="{B063D752-8E6D-48F9-B731-803B46E1AD00}"/>
  <tableColumns count="2">
    <tableColumn id="1" xr3:uid="{2D9DBDEE-98A3-4740-9B58-A2A3121DB2CB}" name="(HIDDEN)" totalsRowLabel="Total (HIDDEN)" dataDxfId="1110" totalsRowDxfId="1109"/>
    <tableColumn id="2" xr3:uid="{274487C1-E3CC-44A9-A069-6165FED9D4BA}" name="(HIDDEN)2" totalsRowFunction="custom" dataDxfId="1108" totalsRowDxfId="1107">
      <calculatedColumnFormula>SUM(
SUBTOTAL(109,OPEX_COSTS[Total Annual Cost]),
SUBTOTAL(109,OTHER_COST[Total Annual Cost])
)</calculatedColumnFormula>
      <totalsRowFormula>PERSONNEL_REGULAR[[#Totals],[Total Yearly Personnel Expense]]+PERSONNEL_CONTRACTUAL[[#Totals],[Total Yearly Personnel Expense]]+SUBTOTAL(109,OPEX_COSTS[Total Annual Cost])+
SUBTOTAL(109,OTHER_COST[Total Annual Cost])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214E1DD-911D-44DB-AA4F-844237992A6A}" name="tblSummaryNonCash" displayName="tblSummaryNonCash" ref="D107:E109" totalsRowCount="1" headerRowDxfId="1106" dataDxfId="1104" totalsRowDxfId="1102" headerRowBorderDxfId="1105" tableBorderDxfId="1103">
  <autoFilter ref="D107:E108" xr:uid="{E214E1DD-911D-44DB-AA4F-844237992A6A}"/>
  <tableColumns count="2">
    <tableColumn id="1" xr3:uid="{B9FA1D3C-EA33-4C51-96EC-3934C0181428}" name="(HIDDEN)" totalsRowLabel="Total (HIDDEN)" dataDxfId="1101" totalsRowDxfId="1100"/>
    <tableColumn id="2" xr3:uid="{8EF4B771-B47C-4FC0-B8C2-79D1B08346EE}" name="(HIDDEN)2" totalsRowFunction="sum" dataDxfId="1099" totalsRowDxfId="1098">
      <calculatedColumnFormula>DEPRECIATION[[#Totals],[Total Depreciation]]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FD12E85-F6AA-4AE9-841E-8632AA4D810A}" name="dropdownTBL" displayName="dropdownTBL" ref="B12:B23" totalsRowShown="0" headerRowDxfId="1097" dataDxfId="1095" headerRowBorderDxfId="1096" tableBorderDxfId="1094" totalsRowBorderDxfId="1093" headerRowCellStyle="Accent5" dataCellStyle="20% - Accent5">
  <autoFilter ref="B12:B23" xr:uid="{DFD12E85-F6AA-4AE9-841E-8632AA4D810A}"/>
  <tableColumns count="1">
    <tableColumn id="1" xr3:uid="{C140B887-EE72-4B27-9F13-B0B0DF11B526}" name="DROPDOWN CATEGORY" dataDxfId="1092" dataCellStyle="20% - Accent5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D375B87-8E2C-4BC7-B116-D0F95B6C46E7}" name="Table75" displayName="Table75" ref="B28:D82" totalsRowShown="0" headerRowDxfId="1091" dataDxfId="1090">
  <autoFilter ref="B28:D82" xr:uid="{CD375B87-8E2C-4BC7-B116-D0F95B6C46E7}">
    <filterColumn colId="0" hiddenButton="1"/>
    <filterColumn colId="1" hiddenButton="1"/>
    <filterColumn colId="2" hiddenButton="1"/>
  </autoFilter>
  <tableColumns count="3">
    <tableColumn id="1" xr3:uid="{6F276622-0731-4F9E-B1B1-280A8647737B}" name="Variable" dataDxfId="1089"/>
    <tableColumn id="2" xr3:uid="{F2CD1DEB-5013-4550-872A-271A579BBC92}" name="Unit" dataDxfId="1088"/>
    <tableColumn id="3" xr3:uid="{332FFB4D-C9F4-4C8C-949F-2592ACAAFB4F}" name="Value" dataDxfId="1087" dataCellStyle="Comma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967E123-0F6B-4E1E-94A4-401FB992429C}" name="Table111" displayName="Table111" ref="B91:B93" totalsRowShown="0" headerRowDxfId="1086" dataDxfId="1085">
  <autoFilter ref="B91:B93" xr:uid="{E967E123-0F6B-4E1E-94A4-401FB992429C}"/>
  <tableColumns count="1">
    <tableColumn id="1" xr3:uid="{E1500183-CA4E-4B83-9070-13073E1C990F}" name="Exceeded useful life" dataDxfId="10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95B4247-BD64-4CBE-A222-7D6960314268}" name="tblDashInternalFR" displayName="tblDashInternalFR" ref="B34:D38" totalsRowCount="1" headerRowDxfId="1284" dataDxfId="1283" totalsRowDxfId="1282" totalsRowBorderDxfId="1281">
  <autoFilter ref="B34:D37" xr:uid="{195B4247-BD64-4CBE-A222-7D6960314268}">
    <filterColumn colId="0" hiddenButton="1"/>
    <filterColumn colId="1" hiddenButton="1"/>
    <filterColumn colId="2" hiddenButton="1"/>
  </autoFilter>
  <tableColumns count="3">
    <tableColumn id="1" xr3:uid="{7472069A-3FBE-4562-8009-D15C77C587A7}" name="INTERNAL SOURCE" totalsRowLabel="TOTAL" dataDxfId="1280" totalsRowDxfId="17"/>
    <tableColumn id="2" xr3:uid="{115982BC-6273-4382-B8FF-5EB757C5B772}" name="AMOUNT" totalsRowFunction="sum" dataDxfId="1279" totalsRowDxfId="16"/>
    <tableColumn id="3" xr3:uid="{CB3DCA2D-D6D4-4B4D-95F6-ECC6143F91D0}" name="PERCENTAGE" totalsRowFunction="sum" dataDxfId="1278" totalsRowDxfId="15" dataCellStyle="Percent">
      <calculatedColumnFormula>IFERROR(tblDashInternalFR[[#This Row],[AMOUNT]]/(tblDashInternalFR[[#Totals],[AMOUNT]]+tblDashExternalFR[[#Totals],[AMOUNT]]),0)</calculatedColumn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9942052-DD6F-4CE2-9794-DD0478C79A79}" name="tblDashExternalFR" displayName="tblDashExternalFR" ref="B39:D41" totalsRowCount="1" dataDxfId="1277" totalsRowDxfId="1276" dataCellStyle="Normal">
  <autoFilter ref="B39:D40" xr:uid="{49942052-DD6F-4CE2-9794-DD0478C79A79}">
    <filterColumn colId="0" hiddenButton="1"/>
    <filterColumn colId="1" hiddenButton="1"/>
    <filterColumn colId="2" hiddenButton="1"/>
  </autoFilter>
  <tableColumns count="3">
    <tableColumn id="1" xr3:uid="{B2852ACF-E1F6-4319-8378-520DBFC1BE9E}" name="EXTERNAL SOURCE" totalsRowLabel="TOTAL" dataDxfId="1275" totalsRowDxfId="14" dataCellStyle="Normal"/>
    <tableColumn id="2" xr3:uid="{84A3EA17-CC24-40D1-9BE8-C3350EB7ABE1}" name="AMOUNT" totalsRowFunction="sum" dataDxfId="1274" totalsRowDxfId="13" dataCellStyle="Normal"/>
    <tableColumn id="3" xr3:uid="{2A2D1412-62C5-4517-BDC6-923AB0B2A990}" name="PERCENTAGE" totalsRowFunction="sum" dataDxfId="1273" totalsRowDxfId="12" dataCellStyle="Percent">
      <calculatedColumnFormula>IFERROR(tblDashExternalFR[[#This Row],[AMOUNT]]/(tblDashInternalFR[[#Totals],[AMOUNT]]+tblDashExternalFR[[#Totals],[AMOUNT]]),0)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6383F949-47B3-47DB-A7A9-D8ED29FA6ADF}" name="tblActivity" displayName="tblActivity" ref="G34:I40" totalsRowCount="1" headerRowDxfId="1272" dataDxfId="7" totalsRowDxfId="1271" totalsRowBorderDxfId="1270" headerRowCellStyle="Normal">
  <autoFilter ref="G34:I39" xr:uid="{6383F949-47B3-47DB-A7A9-D8ED29FA6ADF}">
    <filterColumn colId="0" hiddenButton="1"/>
    <filterColumn colId="1" hiddenButton="1"/>
    <filterColumn colId="2" hiddenButton="1"/>
  </autoFilter>
  <tableColumns count="3">
    <tableColumn id="1" xr3:uid="{8BF4376F-22CB-403A-BB1B-8C045F36BA4C}" name="PER ACTIVITY" totalsRowLabel="  TOTAL   " dataDxfId="10" totalsRowDxfId="11" dataCellStyle="Normal"/>
    <tableColumn id="2" xr3:uid="{77CE5478-2398-4E2E-B227-9FE40168D0CD}" name="label" totalsRowFunction="custom" dataDxfId="9" totalsRowDxfId="615" dataCellStyle="Normal">
      <totalsRowFormula>GrandTotal_OC</totalsRowFormula>
    </tableColumn>
    <tableColumn id="6" xr3:uid="{4992C58C-7C22-4C81-AF95-341664379FBD}" name="amount" totalsRowFunction="sum" dataDxfId="8" totalsRowDxfId="61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DC81784F-C385-49E8-9080-86EB60D7722A}" name="tblSumm" displayName="tblSumm" ref="G42:I48" totalsRowShown="0" headerRowDxfId="1269" dataDxfId="3" headerRowCellStyle="Normal" dataCellStyle="Normal">
  <autoFilter ref="G42:I48" xr:uid="{DC81784F-C385-49E8-9080-86EB60D7722A}">
    <filterColumn colId="0" hiddenButton="1"/>
    <filterColumn colId="1" hiddenButton="1"/>
    <filterColumn colId="2" hiddenButton="1"/>
  </autoFilter>
  <tableColumns count="3">
    <tableColumn id="1" xr3:uid="{71A1029F-4B0E-4DA1-B647-E131CA9905F3}" name="PER ITEM" dataDxfId="6" dataCellStyle="Normal"/>
    <tableColumn id="6" xr3:uid="{8CBCE0B4-26AD-4D1E-9C5C-129FC4D3F496}" name="PERCENTAGE" dataDxfId="5" dataCellStyle="Percent"/>
    <tableColumn id="2" xr3:uid="{A0027870-7C27-428F-B46D-98EB4B667A1E}" name="Column1" dataDxfId="4" dataCellStyle="Normal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CCDA91CD-77F1-4275-AAD4-2F1A9BBB497D}" name="tblSummaryFR" displayName="tblSummaryFR" ref="B43:D46" totalsRowShown="0" headerRowDxfId="1268" dataDxfId="1266" headerRowBorderDxfId="1267" tableBorderDxfId="1265" headerRowCellStyle="Bad">
  <autoFilter ref="B43:D46" xr:uid="{CCDA91CD-77F1-4275-AAD4-2F1A9BBB497D}">
    <filterColumn colId="0" hiddenButton="1"/>
    <filterColumn colId="1" hiddenButton="1"/>
    <filterColumn colId="2" hiddenButton="1"/>
  </autoFilter>
  <tableColumns count="3">
    <tableColumn id="1" xr3:uid="{CD63E0EA-522A-4FCE-802D-83820CE2A6A0}" name="SUMMARY" dataDxfId="1264"/>
    <tableColumn id="2" xr3:uid="{15A38BF7-152A-4E7C-9AA0-90DDDF84F658}" name="Column2" dataDxfId="1263"/>
    <tableColumn id="3" xr3:uid="{267AB24D-F798-4A2E-9400-102C219FA588}" name="Column3" dataDxfId="1262" dataCellStyle="Percent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DCD36DD0-5342-4352-9F0E-8C71686CA354}" name="Table76" displayName="Table76" ref="M33:O103" totalsRowShown="0" headerRowDxfId="1261" dataDxfId="1260" dataCellStyle="Normal">
  <autoFilter ref="M33:O103" xr:uid="{DCD36DD0-5342-4352-9F0E-8C71686CA354}">
    <filterColumn colId="0" hiddenButton="1"/>
    <filterColumn colId="1" hiddenButton="1"/>
    <filterColumn colId="2" hiddenButton="1"/>
  </autoFilter>
  <tableColumns count="3">
    <tableColumn id="1" xr3:uid="{36B07EB5-538D-457B-ADF5-6E8076F52891}" name="Variable" dataDxfId="1259" dataCellStyle="Normal">
      <calculatedColumnFormula>Master_Input!B29</calculatedColumnFormula>
    </tableColumn>
    <tableColumn id="2" xr3:uid="{699F31A5-586C-42D0-9279-3335D68637EC}" name="Unit" dataDxfId="1258" dataCellStyle="Normal">
      <calculatedColumnFormula>Master_Input!C29</calculatedColumnFormula>
    </tableColumn>
    <tableColumn id="3" xr3:uid="{492BFBC8-4824-4032-85F6-938860FD0151}" name="Value" dataDxfId="1257" dataCellStyle="Normal">
      <calculatedColumnFormula>Master_Input!D29</calculatedColumnFormula>
    </tableColumn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BCE6EC36-BBA5-4694-9614-4B32561B30A6}" name="tblA" displayName="tblA" ref="B6:K10" totalsRowCount="1" headerRowDxfId="1083" dataDxfId="1081" totalsRowDxfId="1080" headerRowBorderDxfId="1082" headerRowCellStyle="Accent6" dataCellStyle="Accent6" totalsRowCellStyle="Accent6">
  <autoFilter ref="B6:K9" xr:uid="{BCE6EC36-BBA5-4694-9614-4B32561B30A6}"/>
  <tableColumns count="10">
    <tableColumn id="1" xr3:uid="{5D51E32E-BF64-4B06-A3C8-40D9D26DBA21}" name="CODE" dataDxfId="1079" totalsRowDxfId="196" dataCellStyle="Normal"/>
    <tableColumn id="3" xr3:uid="{C21EA2F7-7BB9-4A51-9F8A-86718D3095B4}" name="#" dataDxfId="1078" totalsRowDxfId="195" dataCellStyle="Normal"/>
    <tableColumn id="2" xr3:uid="{C8AF0D71-6979-495B-BC92-6C6B75B1C925}" name="ITEM" dataDxfId="1077" totalsRowDxfId="194" dataCellStyle="Normal"/>
    <tableColumn id="4" xr3:uid="{530A759F-D1C3-4D59-96DD-8A2783DF58C8}" name="Rate" dataDxfId="1076" totalsRowDxfId="193" dataCellStyle="Normal"/>
    <tableColumn id="5" xr3:uid="{0A03FFB8-9E01-47B5-BEEE-F5FC0B9930BD}" name="Accounts" dataDxfId="1075" totalsRowDxfId="192" dataCellStyle="Normal"/>
    <tableColumn id="7" xr3:uid="{20FB5B77-C6D3-4B0E-B864-5B2B6F6A4C30}" name="Service Area" dataDxfId="1074" totalsRowDxfId="191" dataCellStyle="Normal"/>
    <tableColumn id="8" xr3:uid="{D5B45482-23D5-45E2-9E32-041AEB380E0B}" name="Description" dataDxfId="1073" totalsRowDxfId="190" dataCellStyle="Normal"/>
    <tableColumn id="9" xr3:uid="{CC950427-129A-4691-A08E-62FC86F68DD7}" name="Target for FY" totalsRowFunction="sum" dataDxfId="1072" totalsRowDxfId="189" dataCellStyle="Normal"/>
    <tableColumn id="10" xr3:uid="{5C8621FB-9A37-4B11-8AD3-B16634424FAB}" name="Actual Collections for FY " totalsRowFunction="sum" dataDxfId="1071" totalsRowDxfId="188" dataCellStyle="Normal"/>
    <tableColumn id="11" xr3:uid="{ED94E3D2-A31F-48AE-A93E-AA8B751FF2AC}" name="Remarks" dataDxfId="1070" totalsRowDxfId="187" dataCellStyle="Normal"/>
  </tableColumns>
  <tableStyleInfo name="TableStyleLight1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48BB17-C304-4685-B3BD-D105D8375712}" name="tblB" displayName="tblB" ref="B11:K17" totalsRowCount="1" headerRowDxfId="1069" dataDxfId="1068" totalsRowDxfId="1067" headerRowCellStyle="Accent6" dataCellStyle="Normal">
  <autoFilter ref="B11:K16" xr:uid="{3E48BB17-C304-4685-B3BD-D105D8375712}"/>
  <tableColumns count="10">
    <tableColumn id="1" xr3:uid="{7C3356D3-3D57-4E21-84A6-70575AB096F5}" name="CODE" dataDxfId="1066" totalsRowDxfId="186" dataCellStyle="Normal"/>
    <tableColumn id="3" xr3:uid="{A0CA5628-9DC2-48D8-94E5-82F0191AD043}" name="#" dataDxfId="1065" totalsRowDxfId="185" dataCellStyle="Normal"/>
    <tableColumn id="2" xr3:uid="{14799001-E708-4F26-97C2-DFE6B6BAE719}" name="ITEM" dataDxfId="1064" totalsRowDxfId="184" dataCellStyle="Normal"/>
    <tableColumn id="4" xr3:uid="{8932C504-4F2D-4522-B5D0-1D37329C6930}" name="Rate" dataDxfId="1063" totalsRowDxfId="183" dataCellStyle="Normal"/>
    <tableColumn id="5" xr3:uid="{EA4570C1-936D-4939-BD4C-7B1B4389A249}" name="Rate (FJD/rate payer)" dataDxfId="1062" totalsRowDxfId="182" dataCellStyle="Normal"/>
    <tableColumn id="7" xr3:uid="{4FDC994A-A2D6-4A4C-ABDF-C49F87651339}" name="Delegated Area" dataDxfId="1061" totalsRowDxfId="181" dataCellStyle="Normal"/>
    <tableColumn id="8" xr3:uid="{5D806E0B-7C30-42E4-B781-5A99A96F535C}" name="Description" dataDxfId="1060" totalsRowDxfId="180" dataCellStyle="Normal"/>
    <tableColumn id="9" xr3:uid="{D9A9F1C2-D52F-495A-8753-B38FE97244AC}" name="Target for FY (FJD)" totalsRowFunction="sum" dataDxfId="1059" totalsRowDxfId="179" dataCellStyle="Normal"/>
    <tableColumn id="10" xr3:uid="{3FFD942A-1015-4F7C-86EB-4E5BEDF265AE}" name="Actual Collections for FY (FJD)" totalsRowFunction="sum" dataDxfId="1058" totalsRowDxfId="178" dataCellStyle="Normal"/>
    <tableColumn id="11" xr3:uid="{AACDCAF6-3F75-4193-911E-F9FE70378F84}" name="Remarks" dataDxfId="1057" totalsRowDxfId="177" dataCellStyle="Normal"/>
  </tableColumns>
  <tableStyleInfo name="TableStyleLight1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657ACB-156A-4218-95D0-0051090E9E6E}" name="tblC" displayName="tblC" ref="B18:K25" totalsRowCount="1" headerRowDxfId="1056" dataDxfId="1055" totalsRowDxfId="1054" headerRowCellStyle="Accent6" dataCellStyle="Normal">
  <autoFilter ref="B18:K24" xr:uid="{23657ACB-156A-4218-95D0-0051090E9E6E}"/>
  <tableColumns count="10">
    <tableColumn id="1" xr3:uid="{5ECA8FED-CB37-41DB-B5F5-6C145027C827}" name="CODE" dataDxfId="1053" totalsRowDxfId="1052" dataCellStyle="Normal"/>
    <tableColumn id="3" xr3:uid="{B14121B1-FE2F-4791-9DA2-D1B018BD131D}" name="#" dataDxfId="1051" totalsRowDxfId="1050" dataCellStyle="Normal"/>
    <tableColumn id="2" xr3:uid="{379BC48D-A0B5-4489-BD2E-75951C9443F2}" name="ITEM" dataDxfId="1049" totalsRowDxfId="1048" dataCellStyle="Normal"/>
    <tableColumn id="4" xr3:uid="{745D0689-303A-4B36-8AF2-74DAECFB8130}" name="Rate" dataDxfId="1047" totalsRowDxfId="1046" dataCellStyle="Normal"/>
    <tableColumn id="5" xr3:uid="{1D9BBA9F-EA6C-43F0-9195-F9F69028BD58}" name="Rate (FJD/rate payer)" dataDxfId="1045" totalsRowDxfId="1044" dataCellStyle="Normal"/>
    <tableColumn id="7" xr3:uid="{E5134124-E381-4D99-A8F3-71684F5D6A04}" name="Delegated Area" dataDxfId="1043" totalsRowDxfId="1042" dataCellStyle="Normal"/>
    <tableColumn id="8" xr3:uid="{AB120DE4-F85E-4663-AD55-F8901BFB5E29}" name="Description" dataDxfId="1041" totalsRowDxfId="1040" dataCellStyle="Normal"/>
    <tableColumn id="9" xr3:uid="{6A375B90-C809-429C-89F5-A171FD34B019}" name="Target for FY (FJD)" totalsRowFunction="sum" dataDxfId="1039" totalsRowDxfId="1038" dataCellStyle="Normal"/>
    <tableColumn id="10" xr3:uid="{AD85F740-FB30-4E15-A179-D6C537363539}" name="Actual Collections for FY (FJD)" totalsRowFunction="sum" dataDxfId="1037" totalsRowDxfId="1036" dataCellStyle="Normal"/>
    <tableColumn id="11" xr3:uid="{FEC5F029-EDBD-403A-BE83-ACB356F45548}" name="Remarks" dataDxfId="1035" totalsRowDxfId="1034" dataCellStyle="Normal"/>
  </tableColumns>
  <tableStyleInfo name="TableStyleLight1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8A29A63-E4FE-4CCA-93D9-56897914B68A}" name="tblD" displayName="tblD" ref="B26:K30" totalsRowCount="1" headerRowDxfId="1033" dataDxfId="1032" totalsRowDxfId="1031" headerRowCellStyle="Accent6" dataCellStyle="Normal">
  <autoFilter ref="B26:K29" xr:uid="{B8A29A63-E4FE-4CCA-93D9-56897914B68A}"/>
  <tableColumns count="10">
    <tableColumn id="1" xr3:uid="{C647849A-4CFF-4D52-8748-D735B58B88D8}" name="CODE" dataDxfId="1030" totalsRowDxfId="166" dataCellStyle="Normal"/>
    <tableColumn id="3" xr3:uid="{7E1E7609-6FA1-4C32-9989-D01151844E00}" name="#" dataDxfId="1029" totalsRowDxfId="165" dataCellStyle="Normal"/>
    <tableColumn id="2" xr3:uid="{46F6FFA5-22D4-4D16-88CA-BCE7840F6363}" name="ITEM" dataDxfId="1028" totalsRowDxfId="164" dataCellStyle="Normal"/>
    <tableColumn id="4" xr3:uid="{B8004B06-81B3-405F-A76F-5402CCD4A7A0}" name="Rate" dataDxfId="1027" totalsRowDxfId="163" dataCellStyle="Normal"/>
    <tableColumn id="5" xr3:uid="{EA544EE3-7B54-4361-8A33-C93276FA26B4}" name="Rate (FJD/rate payer)" dataDxfId="1026" totalsRowDxfId="162" dataCellStyle="Normal"/>
    <tableColumn id="7" xr3:uid="{6C4DAA69-C6EE-4183-B332-5BA5BBC6DC36}" name="Delegated Area" dataDxfId="1025" totalsRowDxfId="161" dataCellStyle="Normal"/>
    <tableColumn id="8" xr3:uid="{447E375D-D3D7-42E5-80BF-CD786934A6C2}" name="Description" dataDxfId="1024" totalsRowDxfId="160" dataCellStyle="Normal"/>
    <tableColumn id="9" xr3:uid="{09E3DD6F-C566-4333-BB27-119FE86E6E46}" name="Target for FY (FJD)" totalsRowFunction="sum" dataDxfId="1023" totalsRowDxfId="159" dataCellStyle="Normal"/>
    <tableColumn id="10" xr3:uid="{F4A95C4C-ED31-4E27-A71F-7330AC9551F5}" name="Actual Collections for FY (FJD)" totalsRowFunction="sum" dataDxfId="1022" totalsRowDxfId="158" dataCellStyle="Normal"/>
    <tableColumn id="11" xr3:uid="{BC995FCE-AC45-40A9-A682-448DB13F6C6F}" name="Remarks" dataDxfId="1021" totalsRowDxfId="157" dataCellStyle="Normal"/>
  </tableColumns>
  <tableStyleInfo name="TableStyleLight1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D13A38-8B17-488A-B947-FADB460BE5E3}" name="tblE" displayName="tblE" ref="B31:K35" totalsRowCount="1" headerRowDxfId="1020" dataDxfId="1019" totalsRowDxfId="1018" headerRowCellStyle="Accent6" dataCellStyle="Normal">
  <autoFilter ref="B31:K34" xr:uid="{1ED13A38-8B17-488A-B947-FADB460BE5E3}"/>
  <tableColumns count="10">
    <tableColumn id="1" xr3:uid="{69D379D9-1456-4782-B783-F7684E4DDEBD}" name="CODE" dataDxfId="1017" totalsRowDxfId="1016" dataCellStyle="Normal"/>
    <tableColumn id="3" xr3:uid="{D41168E9-C37F-483E-8277-914BDD4D465D}" name="#" dataDxfId="1015" totalsRowDxfId="1014" dataCellStyle="Normal"/>
    <tableColumn id="2" xr3:uid="{F780D989-0A6D-458E-911D-4C908D0C9095}" name="ITEM" dataDxfId="1013" totalsRowDxfId="1012" dataCellStyle="Normal"/>
    <tableColumn id="4" xr3:uid="{67B69C5D-0182-406D-BA28-B5C6A34AAC37}" name="Rate" dataDxfId="1011" totalsRowDxfId="1010" dataCellStyle="Normal"/>
    <tableColumn id="5" xr3:uid="{EB7B3C68-A8E6-4DF3-8589-EC609B792ABB}" name="Rate (FJD/rate payer)" dataDxfId="1009" totalsRowDxfId="1008" dataCellStyle="Normal"/>
    <tableColumn id="7" xr3:uid="{4F045DE3-1A02-4B99-9E67-7058876011EF}" name="Delegated Area" dataDxfId="1007" totalsRowDxfId="1006" dataCellStyle="Normal"/>
    <tableColumn id="8" xr3:uid="{16E8F737-61B0-44D8-8C1E-94DAB55DADC5}" name="Description" dataDxfId="1005" totalsRowDxfId="1004" dataCellStyle="Normal"/>
    <tableColumn id="9" xr3:uid="{595C9F41-9F10-46D1-AE60-695172DF3160}" name="Target for FY (FJD)" totalsRowFunction="sum" dataDxfId="1003" totalsRowDxfId="1002" dataCellStyle="Normal"/>
    <tableColumn id="10" xr3:uid="{63BD7B8B-9A9E-4522-9D44-857F4DC2C697}" name="Actual Collections for FY (FJD)" totalsRowFunction="sum" dataDxfId="1001" totalsRowDxfId="1000" dataCellStyle="Normal"/>
    <tableColumn id="11" xr3:uid="{62E67E1E-6D0F-449D-A938-47E4AF82D842}" name="Remarks" dataDxfId="999" totalsRowDxfId="998" dataCellStyle="Normal"/>
  </tableColumns>
  <tableStyleInfo name="TableStyleLight1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F0276DD-D988-4B03-9A75-2E9F61FAF627}" name="tblF" displayName="tblF" ref="B36:K41" totalsRowCount="1" headerRowDxfId="997" dataDxfId="996" totalsRowDxfId="995" headerRowCellStyle="Accent6" dataCellStyle="Normal">
  <autoFilter ref="B36:K40" xr:uid="{AF0276DD-D988-4B03-9A75-2E9F61FAF627}"/>
  <tableColumns count="10">
    <tableColumn id="1" xr3:uid="{16B00328-94BB-45CC-BED3-EB99FC045FE3}" name="CODE" dataDxfId="994" totalsRowDxfId="993" dataCellStyle="Normal"/>
    <tableColumn id="3" xr3:uid="{FF5DE10F-691D-43A6-AEDE-54FD25DAF649}" name="#" dataDxfId="992" totalsRowDxfId="991" dataCellStyle="Normal"/>
    <tableColumn id="2" xr3:uid="{A090C467-518D-41F4-838E-8F35F9D1E3EF}" name="ITEM" dataDxfId="990" totalsRowDxfId="989" dataCellStyle="Normal"/>
    <tableColumn id="4" xr3:uid="{94CBFC84-CA6E-4D97-A6C9-4D7A1D1DA638}" name="Rate" dataDxfId="988" totalsRowDxfId="987" dataCellStyle="Normal"/>
    <tableColumn id="5" xr3:uid="{9786D71C-C027-436C-9FA3-09A78086AF39}" name="Rate (FJD/rate payer)" dataDxfId="986" totalsRowDxfId="985" dataCellStyle="Normal"/>
    <tableColumn id="7" xr3:uid="{FFAF5943-449A-46AB-8F06-1FD0B33A27C0}" name="Delegated Area" dataDxfId="984" totalsRowDxfId="983" dataCellStyle="Normal"/>
    <tableColumn id="8" xr3:uid="{32BC8308-72E5-4DE7-BC30-00A2FC94F07F}" name="Description" dataDxfId="982" totalsRowDxfId="981" dataCellStyle="Normal"/>
    <tableColumn id="9" xr3:uid="{0E17E54A-84AA-4A74-BF5A-F2A9E59F0261}" name="Target for FY (FJD)" totalsRowFunction="sum" dataDxfId="980" totalsRowDxfId="979" dataCellStyle="Normal"/>
    <tableColumn id="10" xr3:uid="{B9CF6B6A-FC51-4FFC-9F73-039362FE36B0}" name="Actual Collections for FY (FJD)" totalsRowFunction="sum" dataDxfId="978" totalsRowDxfId="977" dataCellStyle="Normal"/>
    <tableColumn id="11" xr3:uid="{AE44E2CB-E92A-4DD9-A919-9D79165974F3}" name="Remarks" dataDxfId="976" totalsRowDxfId="975" dataCellStyle="Normal"/>
  </tableColumns>
  <tableStyleInfo name="TableStyleLight1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E10B909-B684-437E-94DC-48950D1F2F8E}" name="tblG" displayName="tblG" ref="B42:K46" totalsRowCount="1" headerRowDxfId="974" dataDxfId="973" totalsRowDxfId="972" headerRowCellStyle="Accent6" dataCellStyle="Normal">
  <autoFilter ref="B42:K45" xr:uid="{3E10B909-B684-437E-94DC-48950D1F2F8E}"/>
  <tableColumns count="10">
    <tableColumn id="1" xr3:uid="{B9DF8E7F-6A7D-495B-A206-96F2270E3F2A}" name="CODE" dataDxfId="971" totalsRowDxfId="970" dataCellStyle="Normal"/>
    <tableColumn id="3" xr3:uid="{7E0A372C-8344-4C21-A957-0A7A5FCCC143}" name="#" dataDxfId="969" totalsRowDxfId="968" dataCellStyle="Normal"/>
    <tableColumn id="2" xr3:uid="{39270C60-5C4F-4C13-93FB-F2F02B244916}" name="ITEM" dataDxfId="967" totalsRowDxfId="966" dataCellStyle="Normal"/>
    <tableColumn id="4" xr3:uid="{33DB064C-09F8-45D2-A103-AAF453248798}" name="Rate" dataDxfId="965" totalsRowDxfId="964" dataCellStyle="Normal"/>
    <tableColumn id="5" xr3:uid="{47369926-F86E-4CFE-8BBD-415109180E74}" name="Rate (FJD/rate payer)" dataDxfId="963" totalsRowDxfId="962" dataCellStyle="Normal"/>
    <tableColumn id="7" xr3:uid="{F87ABCF5-4BE8-4F7C-9717-41D5B704B54A}" name="Delegated Area" dataDxfId="961" totalsRowDxfId="960" dataCellStyle="Normal"/>
    <tableColumn id="8" xr3:uid="{24D036E7-5471-4168-B36E-297F430AAA6C}" name="Description" dataDxfId="959" totalsRowDxfId="958" dataCellStyle="Normal"/>
    <tableColumn id="9" xr3:uid="{B12E6EDD-ED56-46B4-8CB4-58B735222E78}" name="Target for FY (FJD)" totalsRowFunction="sum" dataDxfId="957" totalsRowDxfId="956" dataCellStyle="Normal"/>
    <tableColumn id="10" xr3:uid="{B666F01A-0888-473D-8708-C8EA8C17C886}" name="Actual Collections for FY (FJD)" totalsRowFunction="sum" dataDxfId="955" totalsRowDxfId="954" dataCellStyle="Normal"/>
    <tableColumn id="11" xr3:uid="{2456ECB5-2FB2-4CB9-98A6-23F8A5AFA3F0}" name="Remarks" dataDxfId="953" totalsRowDxfId="952" dataCellStyle="Normal"/>
  </tableColumns>
  <tableStyleInfo name="TableStyleLight1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DA6C6C-516F-47D2-A9B7-BF71A691B061}" name="tblH" displayName="tblH" ref="B52:K55" totalsRowCount="1" headerRowDxfId="951" dataDxfId="950" totalsRowDxfId="949" headerRowCellStyle="Accent6" dataCellStyle="Normal">
  <autoFilter ref="B52:K54" xr:uid="{F3DA6C6C-516F-47D2-A9B7-BF71A691B061}"/>
  <tableColumns count="10">
    <tableColumn id="1" xr3:uid="{F8ABA98C-4621-4A06-8651-C11EB1973C79}" name="CODE" dataDxfId="948" totalsRowDxfId="947" dataCellStyle="Normal"/>
    <tableColumn id="3" xr3:uid="{BB56E4C7-D604-45F2-B890-AFC77CAF3463}" name="#" dataDxfId="946" totalsRowDxfId="945" dataCellStyle="Normal"/>
    <tableColumn id="2" xr3:uid="{DDFA613E-4A22-4111-A389-D06C3C5D98CD}" name="ITEM" dataDxfId="944" totalsRowDxfId="943" dataCellStyle="Normal"/>
    <tableColumn id="4" xr3:uid="{F2EBF5D4-0072-4E82-B8A7-87AE0E905ACD}" name="Rate" dataDxfId="942" totalsRowDxfId="941" dataCellStyle="Normal"/>
    <tableColumn id="5" xr3:uid="{1B28C861-AF67-40C2-A470-8E346ED47A24}" name="Rate (FJD/rate payer)" dataDxfId="940" totalsRowDxfId="939" dataCellStyle="Normal"/>
    <tableColumn id="7" xr3:uid="{36B3A58E-B4FF-40D6-85EA-019154B545D5}" name="Delegated Area" dataDxfId="938" totalsRowDxfId="937" dataCellStyle="Normal"/>
    <tableColumn id="8" xr3:uid="{824974D4-0C56-48A9-B909-F500359EC84F}" name="Description" dataDxfId="936" totalsRowDxfId="935" dataCellStyle="Normal"/>
    <tableColumn id="9" xr3:uid="{ED8F3778-EEA6-46D9-904E-806ED2D9800C}" name="Target for FY (FJD)" totalsRowFunction="sum" dataDxfId="934" totalsRowDxfId="933" dataCellStyle="Normal"/>
    <tableColumn id="10" xr3:uid="{C9B3495A-F694-45C8-B4D3-1D224A42AC45}" name="Actual Collections for FY (FJD)" totalsRowFunction="sum" dataDxfId="932" totalsRowDxfId="931" dataCellStyle="Normal"/>
    <tableColumn id="11" xr3:uid="{1D3A2DFD-7C98-44EC-9BB2-DFEBBAA34D7C}" name="Remarks" dataDxfId="930" totalsRowDxfId="929" dataCellStyle="Normal"/>
  </tableColumns>
  <tableStyleInfo name="TableStyleLight2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48F4648-FA01-44F4-9594-5A1FF81D6A75}" name="tblI" displayName="tblI" ref="B56:K59" totalsRowCount="1" headerRowDxfId="928" dataDxfId="927" totalsRowDxfId="926" headerRowCellStyle="Accent6" dataCellStyle="Normal">
  <autoFilter ref="B56:K58" xr:uid="{748F4648-FA01-44F4-9594-5A1FF81D6A75}"/>
  <tableColumns count="10">
    <tableColumn id="1" xr3:uid="{0FE4A2E0-B6ED-404B-852F-7F0B81AD312F}" name="CODE" dataDxfId="925" totalsRowDxfId="924" dataCellStyle="Normal"/>
    <tableColumn id="3" xr3:uid="{A56629D5-4F26-4C43-973C-4A931ED28A53}" name="#" dataDxfId="923" totalsRowDxfId="922" dataCellStyle="Normal"/>
    <tableColumn id="2" xr3:uid="{07B91988-BA87-4ED1-8316-0E3D8664C717}" name="ITEM" dataDxfId="921" totalsRowDxfId="920" dataCellStyle="Normal"/>
    <tableColumn id="4" xr3:uid="{6EC48153-D19B-413F-AC56-F28794F7B4BF}" name="Rate" dataDxfId="919" totalsRowDxfId="918" dataCellStyle="Normal"/>
    <tableColumn id="5" xr3:uid="{AA0AFF60-D290-4EAC-B3F1-AD1168AC18DE}" name="Rate (FJD/rate payer)" dataDxfId="917" totalsRowDxfId="916" dataCellStyle="Normal"/>
    <tableColumn id="7" xr3:uid="{F6889A8C-82B0-419B-9898-A31106CF6BF8}" name="Delegated Area" dataDxfId="915" totalsRowDxfId="914" dataCellStyle="Normal"/>
    <tableColumn id="8" xr3:uid="{4DA00C1D-5051-435C-8325-6739D18D7DD3}" name="Description" dataDxfId="913" totalsRowDxfId="912" dataCellStyle="Normal"/>
    <tableColumn id="9" xr3:uid="{F578B2BC-8B28-4698-8A06-8AFEF1D16DFA}" name="Target for FY (FJD)" totalsRowFunction="sum" dataDxfId="911" totalsRowDxfId="910" dataCellStyle="Normal"/>
    <tableColumn id="10" xr3:uid="{2CBBA371-D9A9-40A7-9E43-BB39F7E8FF45}" name="Actual Collections for FY (FJD)" totalsRowFunction="sum" dataDxfId="909" totalsRowDxfId="908" dataCellStyle="Normal"/>
    <tableColumn id="11" xr3:uid="{8186A941-F0EA-4699-B465-71469747D6CC}" name="Remarks" dataDxfId="907" totalsRowDxfId="906" dataCellStyle="Normal"/>
  </tableColumns>
  <tableStyleInfo name="TableStyleLight2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43CB1C1-FE14-4218-81A5-BC35F00EC3AC}" name="tblJ" displayName="tblJ" ref="B60:K63" totalsRowCount="1" headerRowDxfId="905" dataDxfId="904" totalsRowDxfId="903" headerRowCellStyle="Accent6" dataCellStyle="Normal">
  <autoFilter ref="B60:K62" xr:uid="{643CB1C1-FE14-4218-81A5-BC35F00EC3AC}"/>
  <tableColumns count="10">
    <tableColumn id="1" xr3:uid="{A7647E73-4E86-4734-9930-07F3FB4525ED}" name="CODE" dataDxfId="902" totalsRowDxfId="901" dataCellStyle="Normal"/>
    <tableColumn id="3" xr3:uid="{469C1A09-7AC9-49E5-B644-4E0F0014C8BE}" name="#" dataDxfId="900" totalsRowDxfId="899" dataCellStyle="Normal"/>
    <tableColumn id="2" xr3:uid="{D6156895-B23A-4926-BE83-44814DE45F90}" name="ITEM" dataDxfId="898" totalsRowDxfId="897" dataCellStyle="Normal"/>
    <tableColumn id="4" xr3:uid="{E210A0E1-218D-4976-9935-725B2AC64FB6}" name="Rate" dataDxfId="896" totalsRowDxfId="895" dataCellStyle="Normal"/>
    <tableColumn id="5" xr3:uid="{FCB634C9-4D74-4954-AFCE-43290FCDF18B}" name="Rate (FJD/rate payer)" dataDxfId="894" totalsRowDxfId="893" dataCellStyle="Normal"/>
    <tableColumn id="7" xr3:uid="{1097A721-B095-4276-A918-F954D69CD0CF}" name="Delegated Area" dataDxfId="892" totalsRowDxfId="891" dataCellStyle="Normal"/>
    <tableColumn id="8" xr3:uid="{CDF12B15-8B5D-48BE-AFAF-BDDA91894B72}" name="Description" dataDxfId="890" totalsRowDxfId="889" dataCellStyle="Normal"/>
    <tableColumn id="9" xr3:uid="{11CDB477-48D6-45C9-ADF9-6AAE1B1CBBCD}" name="Target for FY (FJD)" totalsRowFunction="sum" dataDxfId="888" totalsRowDxfId="887" dataCellStyle="Normal"/>
    <tableColumn id="10" xr3:uid="{5050B869-3AA6-4910-AE7B-5B90063453BB}" name="Actual Collections for FY (FJD)" totalsRowFunction="sum" dataDxfId="886" totalsRowDxfId="885" dataCellStyle="Normal"/>
    <tableColumn id="11" xr3:uid="{0E90A3AD-037D-4F07-A275-8542B5E00318}" name="Remarks" dataDxfId="884" totalsRowDxfId="883" dataCellStyle="Normal"/>
  </tableColumns>
  <tableStyleInfo name="TableStyleLight2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D177C59-0C3B-4C18-9168-8FA8EA61811C}" name="tblK" displayName="tblK" ref="B69:K72" totalsRowCount="1" headerRowDxfId="882" dataDxfId="881" totalsRowDxfId="880" headerRowCellStyle="Accent6" dataCellStyle="Normal">
  <autoFilter ref="B69:K71" xr:uid="{1D177C59-0C3B-4C18-9168-8FA8EA61811C}"/>
  <tableColumns count="10">
    <tableColumn id="1" xr3:uid="{B2CF3166-0EAD-4087-A8F9-E9AD410F7F75}" name="CODE" dataDxfId="879" totalsRowDxfId="176" dataCellStyle="Normal"/>
    <tableColumn id="3" xr3:uid="{0F0BA491-CC82-4C71-947B-658BA04730CB}" name="#" dataDxfId="878" totalsRowDxfId="175" dataCellStyle="Normal"/>
    <tableColumn id="2" xr3:uid="{C8A27F34-C794-4767-A99E-17D05A64F646}" name="ITEM" dataDxfId="877" totalsRowDxfId="174" dataCellStyle="Normal"/>
    <tableColumn id="4" xr3:uid="{D6D9BA23-BD00-4CE9-99EB-18336D893550}" name="Rate" dataDxfId="876" totalsRowDxfId="173" dataCellStyle="Normal"/>
    <tableColumn id="5" xr3:uid="{C07EA9A3-974A-46F8-86D7-FCE1EE49DF9E}" name="Rate (FJD/rate payer)" dataDxfId="875" totalsRowDxfId="172" dataCellStyle="Normal"/>
    <tableColumn id="7" xr3:uid="{055029D7-EC0D-437C-BD5F-2FE937B27D07}" name="Delegated Area" dataDxfId="874" totalsRowDxfId="171" dataCellStyle="Normal"/>
    <tableColumn id="8" xr3:uid="{7CB82752-B226-4769-BDFF-EAE4064E282B}" name="Description" dataDxfId="873" totalsRowDxfId="170" dataCellStyle="Normal"/>
    <tableColumn id="9" xr3:uid="{7C094B00-BCEC-40DB-A5B4-A5DA1790CAF1}" name="Target for FY (FJD)" totalsRowFunction="sum" dataDxfId="872" totalsRowDxfId="169" dataCellStyle="Normal"/>
    <tableColumn id="10" xr3:uid="{32A5168E-4943-4053-8FE9-C8766E9FDF09}" name="Actual Collections for FY (FJD)" totalsRowFunction="sum" dataDxfId="871" totalsRowDxfId="168" dataCellStyle="Normal"/>
    <tableColumn id="11" xr3:uid="{9C3A689B-7DCB-4D44-A31D-331863037492}" name="Remarks" dataDxfId="870" totalsRowDxfId="167" dataCellStyle="Normal"/>
  </tableColumns>
  <tableStyleInfo name="TableStyleLight2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ED6841E-82B9-4958-8249-E9A89C4C4134}" name="tblL" displayName="tblL" ref="B73:K78" totalsRowCount="1" headerRowDxfId="869" dataDxfId="868" totalsRowDxfId="867" headerRowCellStyle="Accent6" dataCellStyle="Normal">
  <autoFilter ref="B73:K77" xr:uid="{1ED6841E-82B9-4958-8249-E9A89C4C4134}"/>
  <tableColumns count="10">
    <tableColumn id="1" xr3:uid="{EE8AA23E-5070-4F41-B319-4FAC44A33282}" name="CODE" dataDxfId="866" totalsRowDxfId="865" dataCellStyle="Normal"/>
    <tableColumn id="3" xr3:uid="{5C82AFDD-2A0B-4FBA-B567-95CBE7A89F1C}" name="#" dataDxfId="864" totalsRowDxfId="863" dataCellStyle="Normal"/>
    <tableColumn id="2" xr3:uid="{8EE3886C-CA2D-4562-B4EE-B75D7AB54DC8}" name="ITEM" dataDxfId="862" totalsRowDxfId="861" dataCellStyle="Normal"/>
    <tableColumn id="4" xr3:uid="{19392414-144B-43A8-B2A9-BF9233936BAF}" name="Rate" dataDxfId="860" totalsRowDxfId="859" dataCellStyle="Normal"/>
    <tableColumn id="5" xr3:uid="{570912CF-D285-4A96-9ADD-0E54E1C06FF2}" name="Rate (FJD/rate payer)" dataDxfId="858" totalsRowDxfId="857" dataCellStyle="Normal"/>
    <tableColumn id="7" xr3:uid="{D64E0857-63C9-4DEF-9DD9-F07BEBE6E4A7}" name="Delegated Area" dataDxfId="856" totalsRowDxfId="855" dataCellStyle="Normal"/>
    <tableColumn id="8" xr3:uid="{795393FF-95F1-49E5-9AB3-711A4EA86375}" name="Description" dataDxfId="854" totalsRowDxfId="853" dataCellStyle="Normal"/>
    <tableColumn id="9" xr3:uid="{301D7B32-3BC7-4CD3-B7A3-6893F21A9C10}" name="Target for FY (FJD)" totalsRowFunction="sum" dataDxfId="852" totalsRowDxfId="851" dataCellStyle="Normal"/>
    <tableColumn id="10" xr3:uid="{E15C5A1E-8C31-45F1-9124-FBE9D8E2CFF0}" name="Actual Collections for FY (FJD)" totalsRowFunction="sum" dataDxfId="850" totalsRowDxfId="849" dataCellStyle="Normal"/>
    <tableColumn id="11" xr3:uid="{4430A372-B4E8-42B4-A4B1-182AE0724AB1}" name="Remarks" dataDxfId="848" totalsRowDxfId="847" dataCellStyle="Normal"/>
  </tableColumns>
  <tableStyleInfo name="TableStyleLight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D1E2DA9-7958-4224-9731-9238464A61F2}" name="tblM" displayName="tblM" ref="B79:K83" totalsRowCount="1" headerRowDxfId="846" dataDxfId="845" totalsRowDxfId="844" headerRowCellStyle="Accent6" dataCellStyle="Normal">
  <autoFilter ref="B79:K82" xr:uid="{6D1E2DA9-7958-4224-9731-9238464A61F2}"/>
  <tableColumns count="10">
    <tableColumn id="1" xr3:uid="{F2D8D89F-B3FF-468B-9B6A-6AC27043C4F7}" name="CODE" dataDxfId="843" totalsRowDxfId="842" dataCellStyle="Normal"/>
    <tableColumn id="3" xr3:uid="{32D334A2-4642-4CF5-BF1A-760C46734ECB}" name="#" dataDxfId="841" totalsRowDxfId="840" dataCellStyle="Normal"/>
    <tableColumn id="2" xr3:uid="{149DF400-4438-4738-B392-92388FBF9BE7}" name="ITEM" dataDxfId="839" totalsRowDxfId="838" dataCellStyle="Normal"/>
    <tableColumn id="4" xr3:uid="{926DEEAB-DAF9-4C63-A72D-DE82D44001C0}" name="Rate" dataDxfId="837" totalsRowDxfId="836" dataCellStyle="Normal"/>
    <tableColumn id="5" xr3:uid="{744763B4-76D6-4D33-A2CB-541C14DC6B1B}" name="Rate (FJD/rate payer)" dataDxfId="835" totalsRowDxfId="834" dataCellStyle="Normal"/>
    <tableColumn id="7" xr3:uid="{4269961A-790E-41D6-80F1-B9F84F70AB06}" name="Delegated Area" dataDxfId="833" totalsRowDxfId="832" dataCellStyle="Normal"/>
    <tableColumn id="8" xr3:uid="{17C8A872-2260-4737-AB13-E1E14927ABAE}" name="Description" dataDxfId="831" totalsRowDxfId="830" dataCellStyle="Normal"/>
    <tableColumn id="9" xr3:uid="{0F01494E-0FCA-4D57-A6E4-948BAE604B4F}" name="Target for FY (FJD)" totalsRowFunction="sum" dataDxfId="829" totalsRowDxfId="828" dataCellStyle="Normal"/>
    <tableColumn id="10" xr3:uid="{90D73DCD-8505-4F54-ABA3-16F92DF97E6E}" name="Actual Collections for FY (FJD)" totalsRowFunction="sum" dataDxfId="827" totalsRowDxfId="826" dataCellStyle="Normal"/>
    <tableColumn id="11" xr3:uid="{A3E37FAE-AA50-4B37-9BC0-40A60469B904}" name="Remarks" dataDxfId="825" totalsRowDxfId="824" dataCellStyle="Normal"/>
  </tableColumns>
  <tableStyleInfo name="TableStyleLight2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FA0D70-A207-4962-9F65-CA941923B33D}" name="tblM2" displayName="tblM2" ref="B84:K87" totalsRowCount="1" headerRowDxfId="823" dataDxfId="822" totalsRowDxfId="821" headerRowCellStyle="Accent6" dataCellStyle="Normal">
  <autoFilter ref="B84:K86" xr:uid="{84FA0D70-A207-4962-9F65-CA941923B33D}"/>
  <tableColumns count="10">
    <tableColumn id="1" xr3:uid="{CF276AA0-00FA-4D35-AA5F-C8D4EDFA789A}" name="CODE" dataDxfId="820" totalsRowDxfId="819" dataCellStyle="Normal"/>
    <tableColumn id="3" xr3:uid="{3FD341AF-0D88-4306-A913-34B361AB7E0A}" name="#" dataDxfId="818" totalsRowDxfId="817" dataCellStyle="Normal"/>
    <tableColumn id="2" xr3:uid="{41DFD231-87BD-4D44-A8D8-FC866AF28FF3}" name="ITEM" dataDxfId="816" totalsRowDxfId="815" dataCellStyle="Normal"/>
    <tableColumn id="4" xr3:uid="{C4EF44E4-29A8-44AC-AD33-3668439D75AF}" name="Rate" dataDxfId="814" totalsRowDxfId="813" dataCellStyle="Normal"/>
    <tableColumn id="5" xr3:uid="{C518AF94-34D5-4381-B595-D17778BB54E3}" name="Rate (FJD/rate payer)" dataDxfId="812" totalsRowDxfId="811" dataCellStyle="Normal"/>
    <tableColumn id="7" xr3:uid="{9176895E-F408-4704-AE62-57A40DE77CD7}" name="Delegated Area" dataDxfId="810" totalsRowDxfId="809" dataCellStyle="Normal"/>
    <tableColumn id="8" xr3:uid="{5329E378-CFE1-4EA5-BBC0-B5CEFFE6156C}" name="Description" dataDxfId="808" totalsRowDxfId="807" dataCellStyle="Normal"/>
    <tableColumn id="9" xr3:uid="{F1E0745E-6B77-405E-8A6A-417F09F93776}" name="Target for FY (FJD)" totalsRowFunction="sum" dataDxfId="806" totalsRowDxfId="805" dataCellStyle="Normal"/>
    <tableColumn id="10" xr3:uid="{3F745DB6-5012-4988-A642-444C4676E508}" name="Actual Collections for FY (FJD)" totalsRowFunction="sum" dataDxfId="804" totalsRowDxfId="803" dataCellStyle="Normal"/>
    <tableColumn id="11" xr3:uid="{8BA0E105-FF11-48CA-9429-CC1D87B49890}" name="Remarks" dataDxfId="802" totalsRowDxfId="801" dataCellStyle="Normal"/>
  </tableColumns>
  <tableStyleInfo name="TableStyleLight2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B800A72-5AA8-499B-8581-ADF4FB3B8672}" name="tblM17" displayName="tblM17" ref="B88:K91" totalsRowCount="1" headerRowDxfId="800" dataDxfId="798" totalsRowDxfId="796" headerRowBorderDxfId="799" tableBorderDxfId="797" totalsRowBorderDxfId="795" headerRowCellStyle="Accent6" dataCellStyle="Normal">
  <autoFilter ref="B88:K90" xr:uid="{DB800A72-5AA8-499B-8581-ADF4FB3B8672}"/>
  <tableColumns count="10">
    <tableColumn id="1" xr3:uid="{62D17400-ED2D-4271-A18F-95C47189B3A1}" name="CODE" dataDxfId="794" totalsRowDxfId="793" dataCellStyle="Normal"/>
    <tableColumn id="3" xr3:uid="{82EC03CB-DFBA-4069-81F7-709CF7F536BE}" name="#" dataDxfId="792" totalsRowDxfId="791" dataCellStyle="Normal"/>
    <tableColumn id="2" xr3:uid="{50C36A6A-2D45-41B4-8B4E-29DDB1CE0742}" name="ITEM" dataDxfId="790" totalsRowDxfId="789" dataCellStyle="Normal"/>
    <tableColumn id="4" xr3:uid="{905E53F6-23D7-4F45-8065-EE09A2C7ECB4}" name="Rate" dataDxfId="788" totalsRowDxfId="787" dataCellStyle="Normal"/>
    <tableColumn id="5" xr3:uid="{27DA386F-7888-49EF-B0D1-FEC9441EF770}" name="Rate (FJD/rate payer)" dataDxfId="786" totalsRowDxfId="785" dataCellStyle="Normal"/>
    <tableColumn id="7" xr3:uid="{CFD3CE15-96E3-4AE5-953E-7C325207030E}" name="Delegated Area" dataDxfId="784" totalsRowDxfId="783" dataCellStyle="Normal"/>
    <tableColumn id="8" xr3:uid="{B9EFFB32-D879-4084-A8A7-562612A0C1B8}" name="Description" dataDxfId="782" totalsRowDxfId="781" dataCellStyle="Normal"/>
    <tableColumn id="9" xr3:uid="{D829691A-3C58-4D0E-A41F-4F61069D1C92}" name="Target for FY (FJD)" totalsRowFunction="sum" dataDxfId="780" totalsRowDxfId="779" dataCellStyle="Normal"/>
    <tableColumn id="10" xr3:uid="{4901F34A-6CEA-4D99-AF48-541D5816CE54}" name="Actual Collections for FY (FJD)" totalsRowFunction="sum" dataDxfId="778" totalsRowDxfId="777" dataCellStyle="Normal"/>
    <tableColumn id="11" xr3:uid="{73EC2EBD-D354-4249-BE1E-5E289DCCA58E}" name="Remarks" dataDxfId="776" totalsRowDxfId="775" dataCellStyle="Normal"/>
  </tableColumns>
  <tableStyleInfo name="TableStyleLight2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313C98A-B29A-431F-BC95-04F33344E21E}" name="tblFrInternal" displayName="tblFrInternal" ref="D100:E111" totalsRowCount="1" headerRowDxfId="774" dataDxfId="773" totalsRowDxfId="771" tableBorderDxfId="772" headerRowCellStyle="Normal">
  <autoFilter ref="D100:E110" xr:uid="{9313C98A-B29A-431F-BC95-04F33344E21E}">
    <filterColumn colId="0" hiddenButton="1"/>
    <filterColumn colId="1" hiddenButton="1"/>
  </autoFilter>
  <tableColumns count="2">
    <tableColumn id="1" xr3:uid="{2A8AD236-8015-4ECB-BAA6-C47B90DA46C3}" name="Column1" totalsRowLabel="Total" dataDxfId="770" totalsRowDxfId="769"/>
    <tableColumn id="2" xr3:uid="{0A9E80C6-CF7A-49E9-A859-427E9EEAD61B}" name="Column2" totalsRowFunction="sum" dataDxfId="768" totalsRowDxfId="767"/>
  </tableColumns>
  <tableStyleInfo name="TableStyleLight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CB93F03-2E99-4EF5-B3A1-4FC43295B875}" name="tblFrExternal" displayName="tblFrExternal" ref="D113:E119" totalsRowCount="1" headerRowDxfId="766" dataDxfId="765" totalsRowDxfId="764" headerRowCellStyle="Normal" dataCellStyle="Normal" totalsRowCellStyle="Normal">
  <autoFilter ref="D113:E118" xr:uid="{8CB93F03-2E99-4EF5-B3A1-4FC43295B875}"/>
  <tableColumns count="2">
    <tableColumn id="1" xr3:uid="{34FC3ADE-2688-418E-8D13-38AD456EA7A7}" name="Column1" totalsRowLabel="Total" dataDxfId="763" totalsRowDxfId="762" dataCellStyle="Normal" totalsRowCellStyle="Normal"/>
    <tableColumn id="2" xr3:uid="{A706C395-E586-4E85-9DC3-F5221CEB851C}" name="Column2" totalsRowFunction="sum" dataDxfId="761" totalsRowDxfId="760" dataCellStyle="Normal" totalsRowCellStyle="Normal"/>
  </tableColumns>
  <tableStyleInfo name="TableStyleLight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38C4FB-1BD7-4086-910A-5AE2C2E3F8D0}" name="OPEX_COSTS7" displayName="OPEX_COSTS7" ref="C38:F66" totalsRowCount="1" headerRowDxfId="754" dataDxfId="753" totalsRowDxfId="752" headerRowBorderDxfId="750" tableBorderDxfId="751" headerRowCellStyle="Accent1" dataCellStyle="Normal" totalsRowCellStyle="Check Cell">
  <autoFilter ref="C38:F65" xr:uid="{17706A83-0B53-4719-9458-52CDE877EC5E}"/>
  <tableColumns count="4">
    <tableColumn id="1" xr3:uid="{9135907B-6564-4031-875D-CAF56592C31C}" name="NO." totalsRowLabel="Total" dataDxfId="749" totalsRowDxfId="631" dataCellStyle="Normal"/>
    <tableColumn id="2" xr3:uid="{0DC53C70-A47D-456E-8A78-2D99FB5A053C}" name="Description" dataDxfId="748" totalsRowDxfId="630" dataCellStyle="Normal"/>
    <tableColumn id="3" xr3:uid="{5F8D7B9B-CB32-41BE-8943-EAEDDC08946E}" name="Total Annual Cost" totalsRowFunction="sum" dataDxfId="747" totalsRowDxfId="629" dataCellStyle="Normal"/>
    <tableColumn id="4" xr3:uid="{661DAE43-667F-4E1B-AF5B-43A528B52623}" name="Remarks" dataDxfId="746" totalsRowDxfId="628" dataCellStyle="Normal"/>
  </tableColumns>
  <tableStyleInfo name="TableStyleLight1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4BF7886-8D63-434A-A9C7-CB9A26BB6905}" name="OTHER_COST24" displayName="OTHER_COST24" ref="C72:H80" totalsRowCount="1" headerRowDxfId="745" dataDxfId="744" totalsRowDxfId="743" headerRowBorderDxfId="741" tableBorderDxfId="742" headerRowCellStyle="Accent1" dataCellStyle="Normal" totalsRowCellStyle="Check Cell">
  <autoFilter ref="C72:H79" xr:uid="{C534AFE9-FBC1-45C5-B105-C38564F67F5D}"/>
  <tableColumns count="6">
    <tableColumn id="1" xr3:uid="{3E164AF3-E68A-48F1-BCBE-877D8F713A9D}" name="NO" totalsRowLabel="Total" dataDxfId="739" totalsRowDxfId="740" dataCellStyle="Normal" totalsRowCellStyle="Check Cell"/>
    <tableColumn id="2" xr3:uid="{988F26EB-3B61-418B-BAC6-D95B36D32ABB}" name="Description" dataDxfId="737" totalsRowDxfId="738" dataCellStyle="Normal" totalsRowCellStyle="Check Cell"/>
    <tableColumn id="3" xr3:uid="{6BDE4255-E02D-4B44-B929-D031599FF0D6}" name="Cost per Unit" dataDxfId="735" totalsRowDxfId="736" dataCellStyle="Normal" totalsRowCellStyle="Check Cell"/>
    <tableColumn id="4" xr3:uid="{B9EB5F0A-3F0A-4D98-A60A-68A54DE24279}" name="Units" dataDxfId="733" totalsRowDxfId="734" dataCellStyle="Normal" totalsRowCellStyle="Check Cell"/>
    <tableColumn id="5" xr3:uid="{81103873-E1B1-40C9-B122-40ED1FC386E3}" name="Total Annual Cost" totalsRowFunction="sum" dataDxfId="731" totalsRowDxfId="732" dataCellStyle="Normal" totalsRowCellStyle="Check Cell"/>
    <tableColumn id="6" xr3:uid="{D9905161-5AF3-4C06-9629-9E462BA3413D}" name="Remarks" dataDxfId="729" totalsRowDxfId="730" dataCellStyle="Normal" totalsRowCellStyle="Check Cell"/>
  </tableColumns>
  <tableStyleInfo name="TableStyleLight1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29F82F8-6760-4ED2-881C-08EF61FFF187}" name="DEPRECIATION25" displayName="DEPRECIATION25" ref="C86:N94" totalsRowCount="1" headerRowDxfId="728" dataDxfId="727" totalsRowDxfId="726" headerRowBorderDxfId="724" tableBorderDxfId="725" headerRowCellStyle="Accent1" dataCellStyle="Normal" totalsRowCellStyle="Check Cell">
  <autoFilter ref="C86:N93" xr:uid="{07F1DF58-CBE1-4D69-A664-C715FDC27514}"/>
  <tableColumns count="12">
    <tableColumn id="1" xr3:uid="{FD06D115-F948-4F74-8D44-52A3947BBB3C}" name="No." totalsRowLabel="Total" dataDxfId="723" totalsRowDxfId="627" dataCellStyle="Normal"/>
    <tableColumn id="2" xr3:uid="{535BAC7B-6C15-4167-A972-988C1A2ED121}" name="Description" dataDxfId="722" totalsRowDxfId="626" dataCellStyle="Normal"/>
    <tableColumn id="3" xr3:uid="{4DCFCE91-D797-484A-9094-5F82A87ABB1F}" name="Year Acquired" dataDxfId="721" totalsRowDxfId="625" dataCellStyle="Normal"/>
    <tableColumn id="4" xr3:uid="{CC87AB00-650D-4620-AE1C-819EB95FF967}" name="Initial Cost If Purchased or Value of Granted Asset" dataDxfId="720" totalsRowDxfId="624" dataCellStyle="Normal"/>
    <tableColumn id="5" xr3:uid="{EC6F16F0-F0AD-488E-8543-40636125BFF6}" name="Salvage Value" dataDxfId="719" totalsRowDxfId="623" dataCellStyle="Normal"/>
    <tableColumn id="6" xr3:uid="{BDA8127F-4B17-40E2-848B-BE8DA2B47861}" name="Depreciable Cost" totalsRowFunction="sum" dataDxfId="718" totalsRowDxfId="622" dataCellStyle="Normal">
      <calculatedColumnFormula>DEPRECIATION25[[#This Row],[Initial Cost If Purchased or Value of Granted Asset]]-DEPRECIATION25[[#This Row],[Salvage Value]]</calculatedColumnFormula>
    </tableColumn>
    <tableColumn id="7" xr3:uid="{E3AC4B89-821C-47C7-82EA-DE3706F98C1D}" name="Useful Life" dataDxfId="717" totalsRowDxfId="621" dataCellStyle="Normal"/>
    <tableColumn id="8" xr3:uid="{68F6CAC8-361B-40FC-A549-170ED288B3B4}" name="Number of Assets" dataDxfId="716" totalsRowDxfId="620" dataCellStyle="Normal"/>
    <tableColumn id="9" xr3:uid="{DE6DB8E6-B88A-4EFE-8793-FD02C48C39C5}" name="Annual Depreciation" dataDxfId="715" totalsRowDxfId="619" dataCellStyle="Normal">
      <calculatedColumnFormula>IFERROR(DEPRECIATION25[[#This Row],[Depreciable Cost]]/DEPRECIATION25[[#This Row],[Useful Life]], 0)</calculatedColumnFormula>
    </tableColumn>
    <tableColumn id="13" xr3:uid="{A4C0B144-28E8-4D52-B1EC-E116B5100739}" name="Exceeded useful life" dataDxfId="714" totalsRowDxfId="618"/>
    <tableColumn id="10" xr3:uid="{2421672B-A1D0-46A6-A3DD-129E791875BE}" name="Total Depreciation" totalsRowFunction="sum" dataDxfId="713" totalsRowDxfId="617" dataCellStyle="Normal">
      <calculatedColumnFormula>IF(DEPRECIATION25[[#This Row],[Exceeded useful life]]="YES",0,IFERROR(DEPRECIATION25[[#This Row],[Number of Assets]]*DEPRECIATION25[[#This Row],[Annual Depreciation]],0))</calculatedColumnFormula>
    </tableColumn>
    <tableColumn id="11" xr3:uid="{F868141F-17AE-4ED9-870C-72FB4F480666}" name="Remarks" dataDxfId="712" totalsRowDxfId="616" dataCellStyle="Normal"/>
  </tableColumns>
  <tableStyleInfo name="TableStyleLight1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E41FC87-928B-4E26-8EF2-A6CE7CC3759A}" name="PERSONNEL_REGULAR27" displayName="PERSONNEL_REGULAR27" ref="C8:P19" totalsRowCount="1" headerRowDxfId="711" dataDxfId="710" totalsRowDxfId="709" tableBorderDxfId="708" headerRowCellStyle="Accent1" dataCellStyle="Normal" totalsRowCellStyle="Check Cell">
  <autoFilter ref="C8:P18" xr:uid="{D8A17D39-1767-4998-A9CA-B811ECBCFD3A}"/>
  <tableColumns count="14">
    <tableColumn id="1" xr3:uid="{CB001B94-D6E1-4245-A7E9-5180507AD126}" name="NO." totalsRowLabel="Total" dataDxfId="707" totalsRowDxfId="645" dataCellStyle="Normal"/>
    <tableColumn id="2" xr3:uid="{F8F6810B-D7F1-4794-837F-4FB72D5071B4}" name="Name" dataDxfId="706" totalsRowDxfId="644" dataCellStyle="Normal"/>
    <tableColumn id="3" xr3:uid="{08A346F3-0433-4797-A9DB-0017BFAC3A2C}" name="Official Designation" dataDxfId="705" totalsRowDxfId="643" dataCellStyle="Normal"/>
    <tableColumn id="4" xr3:uid="{40DFC084-3317-4DD1-BBC1-68A3F6272D0C}" name="Annual Salary" totalsRowFunction="sum" dataDxfId="704" totalsRowDxfId="642" dataCellStyle="Normal"/>
    <tableColumn id="5" xr3:uid="{E7F4DD44-7026-44B1-85B8-2479465420F3}" name="Benefit/Contribution (1)" totalsRowFunction="sum" dataDxfId="703" totalsRowDxfId="641" dataCellStyle="Normal"/>
    <tableColumn id="6" xr3:uid="{4B201BAA-4211-4704-B387-9ED90B7AD007}" name="Benefit/Contribution (2)" totalsRowFunction="sum" dataDxfId="702" totalsRowDxfId="640" dataCellStyle="Normal"/>
    <tableColumn id="14" xr3:uid="{A1BCDDD7-CABD-49CC-A802-16E77F0757E7}" name="Benefit/Contribution (3)" totalsRowFunction="sum" dataDxfId="701" totalsRowDxfId="639" dataCellStyle="Normal"/>
    <tableColumn id="13" xr3:uid="{AB27EBFD-A960-4114-9235-B6BFF89047E7}" name="Benefit/Contribution (4)" totalsRowFunction="sum" dataDxfId="700" totalsRowDxfId="638" dataCellStyle="Normal"/>
    <tableColumn id="7" xr3:uid="{BEC76D52-BD95-4626-B1AE-5F5FA82E1163}" name="Benefit/Contribution (5)" totalsRowFunction="sum" dataDxfId="699" totalsRowDxfId="637" dataCellStyle="Normal"/>
    <tableColumn id="8" xr3:uid="{F67427A8-E167-4311-8B6B-162A0712D3E0}" name="Other Benefits" totalsRowFunction="sum" dataDxfId="698" totalsRowDxfId="636" dataCellStyle="Normal"/>
    <tableColumn id="9" xr3:uid="{DAF9D968-5C78-4242-A248-6D30C9C5C40C}" name="Estimated % Time Allocation" dataDxfId="697" totalsRowDxfId="635" dataCellStyle="Percent"/>
    <tableColumn id="10" xr3:uid="{57936819-29DF-4335-926A-46A764A8CE34}" name="Total Yearly Personnel Expense" totalsRowFunction="sum" dataDxfId="696" totalsRowDxfId="634" dataCellStyle="Normal">
      <calculatedColumnFormula>SUM(F9:L9)*M9</calculatedColumnFormula>
    </tableColumn>
    <tableColumn id="11" xr3:uid="{9BF6FE87-E7F4-4568-BC93-5EAD848C56B4}" name="Specific Tasks" dataDxfId="695" totalsRowDxfId="633" dataCellStyle="Normal"/>
    <tableColumn id="12" xr3:uid="{BBC08E39-33C9-4EC3-AE79-EF9C42D5C79F}" name="Remarks" dataDxfId="694" totalsRowDxfId="632" dataCellStyle="Normal"/>
  </tableColumns>
  <tableStyleInfo name="TableStyleLight1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4458A4F-3ECF-49AE-90C4-F71DC249D87E}" name="PERSONNEL_CONTRACTUAL28" displayName="PERSONNEL_CONTRACTUAL28" ref="C24:P31" totalsRowCount="1" headerRowDxfId="693" dataDxfId="692" totalsRowDxfId="691" tableBorderDxfId="690" headerRowCellStyle="Accent1" dataCellStyle="Normal" totalsRowCellStyle="Check Cell">
  <autoFilter ref="C24:P30" xr:uid="{61592270-3747-4A2D-A8F0-479481BD52E2}"/>
  <tableColumns count="14">
    <tableColumn id="1" xr3:uid="{7DEDF23A-376A-4F23-8B9F-FD8A9C939363}" name="NO." totalsRowLabel="Total" dataDxfId="688" totalsRowDxfId="689" dataCellStyle="Normal"/>
    <tableColumn id="2" xr3:uid="{A60417E4-4EE0-4F9F-BA0F-3A5A79DE0BAE}" name="Name" dataDxfId="686" totalsRowDxfId="687" dataCellStyle="Normal"/>
    <tableColumn id="3" xr3:uid="{156A3DC2-ECCB-46F4-81FD-992758855399}" name="Official Designation" dataDxfId="684" totalsRowDxfId="685" dataCellStyle="Normal"/>
    <tableColumn id="4" xr3:uid="{B19DE4EE-1037-42D8-9040-FA2DB9E8D6EF}" name="Annual Salary" totalsRowFunction="sum" dataDxfId="682" totalsRowDxfId="683" dataCellStyle="Normal"/>
    <tableColumn id="5" xr3:uid="{B1ECF1CB-4D72-42FD-B2A2-772631552A61}" name="Benefit/Contribution (1)" totalsRowFunction="sum" dataDxfId="680" totalsRowDxfId="681" dataCellStyle="Normal"/>
    <tableColumn id="6" xr3:uid="{ADC7F804-29D7-40B3-B421-FDCEC169A00C}" name="Benefit/Contribution (2)" totalsRowFunction="sum" dataDxfId="678" totalsRowDxfId="679" dataCellStyle="Normal"/>
    <tableColumn id="14" xr3:uid="{198FF58F-16C2-4D12-ADEA-2B265ABDEFCC}" name="Benefit/Contribution (3)" totalsRowFunction="sum" dataDxfId="676" totalsRowDxfId="677" dataCellStyle="Normal"/>
    <tableColumn id="13" xr3:uid="{00BEC471-2CE2-4971-83D6-460250F6B996}" name="Benefit/Contribution (4)" totalsRowFunction="sum" dataDxfId="674" totalsRowDxfId="675" dataCellStyle="Normal"/>
    <tableColumn id="7" xr3:uid="{BB19728B-4B64-4779-B622-07D479AF3BC9}" name="Benefit/Contribution (5)" totalsRowFunction="sum" dataDxfId="672" totalsRowDxfId="673" dataCellStyle="Normal"/>
    <tableColumn id="8" xr3:uid="{B2D4D20F-ED56-48F1-8E59-446CBAB16276}" name="Other Benefits" totalsRowFunction="sum" dataDxfId="670" totalsRowDxfId="671" dataCellStyle="Normal"/>
    <tableColumn id="9" xr3:uid="{DD1D06C2-347C-4B66-8B97-945482AA323F}" name="Estimated % Time Allocation" dataDxfId="668" totalsRowDxfId="669" dataCellStyle="Percent"/>
    <tableColumn id="10" xr3:uid="{B09D7A92-0D13-47F4-BAAF-AD5270F9DFC4}" name="Total Yearly Personnel Expense" totalsRowFunction="sum" dataDxfId="666" totalsRowDxfId="667" dataCellStyle="Normal">
      <calculatedColumnFormula>SUM(F25:L25)*M25</calculatedColumnFormula>
    </tableColumn>
    <tableColumn id="11" xr3:uid="{D39B04DF-3FD4-4CB6-8E2C-AC06033B20D9}" name="Specific Tasks" dataDxfId="664" totalsRowDxfId="665" dataCellStyle="Normal"/>
    <tableColumn id="12" xr3:uid="{1F40A03E-BBE1-4824-AF29-09524677812E}" name="Remarks" dataDxfId="662" totalsRowDxfId="663" dataCellStyle="Normal"/>
  </tableColumns>
  <tableStyleInfo name="TableStyleLight1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FAC55C4-08BA-458F-957D-011299BE6182}" name="tblSummaryCash29" displayName="tblSummaryCash29" ref="D103:E106" totalsRowCount="1" headerRowDxfId="661" dataDxfId="660" totalsRowDxfId="659">
  <autoFilter ref="D103:E105" xr:uid="{B063D752-8E6D-48F9-B731-803B46E1AD00}"/>
  <tableColumns count="2">
    <tableColumn id="1" xr3:uid="{78B5DEC2-C761-4D69-B388-2AD565B4AA27}" name="(HIDDEN)" totalsRowLabel="Total (HIDDEN)" dataDxfId="657" totalsRowDxfId="658"/>
    <tableColumn id="2" xr3:uid="{41254165-2B6C-4881-954D-0CA232EA735F}" name="(HIDDEN)2" totalsRowFunction="custom" dataDxfId="655" totalsRowDxfId="656">
      <calculatedColumnFormula>SUM(
SUBTOTAL(109,OPEX_COSTS7[Total Annual Cost]),
SUBTOTAL(109,OTHER_COST24[Total Annual Cost])
)</calculatedColumnFormula>
      <totalsRowFormula>PERSONNEL_REGULAR27[[#Totals],[Total Yearly Personnel Expense]]+PERSONNEL_CONTRACTUAL28[[#Totals],[Total Yearly Personnel Expense]]+SUBTOTAL(109,OPEX_COSTS7[Total Annual Cost])+
SUBTOTAL(109,OTHER_COST24[Total Annual Cost])</totalsRow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BCD2BA8-D9C5-48BA-B4A6-D787A982E6F0}" name="tblSummaryNonCash30" displayName="tblSummaryNonCash30" ref="D107:E109" totalsRowCount="1" headerRowDxfId="654" dataDxfId="653" totalsRowDxfId="652" headerRowBorderDxfId="650" tableBorderDxfId="651">
  <autoFilter ref="D107:E108" xr:uid="{E214E1DD-911D-44DB-AA4F-844237992A6A}"/>
  <tableColumns count="2">
    <tableColumn id="1" xr3:uid="{29E2600D-B6D4-425A-BE64-A089F4A81F0F}" name="(HIDDEN)" totalsRowLabel="Total (HIDDEN)" dataDxfId="648" totalsRowDxfId="649"/>
    <tableColumn id="2" xr3:uid="{3E2537FE-9256-4D97-BFAA-591695F2B986}" name="(HIDDEN)2" totalsRowFunction="sum" dataDxfId="646" totalsRowDxfId="647">
      <calculatedColumnFormula>DEPRECIATION25[[#Totals],[Total Depreciation]]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6BCC394-9B67-49A8-B4B1-C9622FF00ADE}" name="OPEX_COSTS31" displayName="OPEX_COSTS31" ref="C38:F66" totalsRowCount="1" headerRowDxfId="613" dataDxfId="612" totalsRowDxfId="611" headerRowBorderDxfId="609" tableBorderDxfId="610" headerRowCellStyle="Accent1" dataCellStyle="Normal" totalsRowCellStyle="Check Cell">
  <autoFilter ref="C38:F65" xr:uid="{17706A83-0B53-4719-9458-52CDE877EC5E}"/>
  <tableColumns count="4">
    <tableColumn id="1" xr3:uid="{019458CF-23B1-4827-9B93-4716135DDDD4}" name="NO." totalsRowLabel="Total" dataDxfId="608" totalsRowDxfId="478" dataCellStyle="Normal"/>
    <tableColumn id="2" xr3:uid="{7F493075-250C-44E1-8D14-24C9E0CE2F48}" name="Description" dataDxfId="607" totalsRowDxfId="477" dataCellStyle="Normal"/>
    <tableColumn id="3" xr3:uid="{EE42CC2A-97A5-4C7A-9E49-96DB46054D64}" name="Total Annual Cost" totalsRowFunction="sum" dataDxfId="606" totalsRowDxfId="476" dataCellStyle="Normal"/>
    <tableColumn id="4" xr3:uid="{76A458A3-B88B-48A4-ACF4-E3DF6099CF9E}" name="Remarks" dataDxfId="605" totalsRowDxfId="475" dataCellStyle="Normal"/>
  </tableColumns>
  <tableStyleInfo name="TableStyleLight1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150AFDD-9D64-4031-9EB6-FE065225D7AF}" name="OTHER_COST39" displayName="OTHER_COST39" ref="C72:H80" totalsRowCount="1" headerRowDxfId="604" dataDxfId="603" totalsRowDxfId="602" headerRowBorderDxfId="600" tableBorderDxfId="601" headerRowCellStyle="Accent1" dataCellStyle="Normal" totalsRowCellStyle="Check Cell">
  <autoFilter ref="C72:H79" xr:uid="{C534AFE9-FBC1-45C5-B105-C38564F67F5D}"/>
  <tableColumns count="6">
    <tableColumn id="1" xr3:uid="{6671AB57-5489-4F93-9153-481F2F854579}" name="NO" totalsRowLabel="Total" dataDxfId="598" totalsRowDxfId="599" dataCellStyle="Normal" totalsRowCellStyle="Check Cell"/>
    <tableColumn id="2" xr3:uid="{9761A625-9080-4ED5-91E0-31271EA20D74}" name="Description" dataDxfId="596" totalsRowDxfId="597" dataCellStyle="Normal" totalsRowCellStyle="Check Cell"/>
    <tableColumn id="3" xr3:uid="{FD4881CF-C01A-4C22-AD31-7382411F26B5}" name="Cost per Unit" dataDxfId="594" totalsRowDxfId="595" dataCellStyle="Normal" totalsRowCellStyle="Check Cell"/>
    <tableColumn id="4" xr3:uid="{41DD0D16-D7A5-42E1-9459-BD1879E0F7C0}" name="Units" dataDxfId="592" totalsRowDxfId="593" dataCellStyle="Normal" totalsRowCellStyle="Check Cell"/>
    <tableColumn id="5" xr3:uid="{F566ADEC-3312-464E-B12D-ADC6F530CEBD}" name="Total Annual Cost" totalsRowFunction="sum" dataDxfId="590" totalsRowDxfId="591" dataCellStyle="Normal" totalsRowCellStyle="Check Cell"/>
    <tableColumn id="6" xr3:uid="{B4505CA0-A637-4A15-B3CA-D11CCFEADF91}" name="Remarks" dataDxfId="588" totalsRowDxfId="589" dataCellStyle="Normal" totalsRowCellStyle="Check Cell"/>
  </tableColumns>
  <tableStyleInfo name="TableStyleLight1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37AC292-4920-464F-8615-45FB564FB545}" name="DEPRECIATION40" displayName="DEPRECIATION40" ref="C86:N94" totalsRowCount="1" headerRowDxfId="587" dataDxfId="586" totalsRowDxfId="585" headerRowBorderDxfId="583" tableBorderDxfId="584" headerRowCellStyle="Accent1" dataCellStyle="Normal" totalsRowCellStyle="Check Cell">
  <autoFilter ref="C86:N93" xr:uid="{07F1DF58-CBE1-4D69-A664-C715FDC27514}"/>
  <tableColumns count="12">
    <tableColumn id="1" xr3:uid="{BFAE3EF4-55D2-4AA2-A401-D78F8DB5AE3D}" name="No." totalsRowLabel="Total" dataDxfId="581" totalsRowDxfId="582" dataCellStyle="Normal"/>
    <tableColumn id="2" xr3:uid="{FC84109A-A3FD-483F-AFB2-2B7066D8C529}" name="Description" dataDxfId="579" totalsRowDxfId="580" dataCellStyle="Normal"/>
    <tableColumn id="3" xr3:uid="{A14E65B7-DEB1-4B76-9C9E-089EA62D8B25}" name="Year Acquired" dataDxfId="577" totalsRowDxfId="578" dataCellStyle="Normal"/>
    <tableColumn id="4" xr3:uid="{FC5F34AA-F4CD-41BB-905E-18379DC323AF}" name="Initial Cost If Purchased or Value of Granted Asset" dataDxfId="575" totalsRowDxfId="576" dataCellStyle="Normal"/>
    <tableColumn id="5" xr3:uid="{DC773F61-BDFD-43D7-990E-F548A859E3AA}" name="Salvage Value" dataDxfId="573" totalsRowDxfId="574" dataCellStyle="Normal"/>
    <tableColumn id="6" xr3:uid="{11BF87EE-7219-417C-8001-9890D185CBFA}" name="Depreciable Cost" totalsRowFunction="sum" dataDxfId="571" totalsRowDxfId="572" dataCellStyle="Normal">
      <calculatedColumnFormula>DEPRECIATION40[[#This Row],[Initial Cost If Purchased or Value of Granted Asset]]-DEPRECIATION40[[#This Row],[Salvage Value]]</calculatedColumnFormula>
    </tableColumn>
    <tableColumn id="7" xr3:uid="{7EED0FC4-4AB1-4D2E-A12C-3EF05046A304}" name="Useful Life" dataDxfId="569" totalsRowDxfId="570" dataCellStyle="Normal"/>
    <tableColumn id="8" xr3:uid="{4177F1CF-2CDF-4544-870C-B563A1FAC721}" name="Number of Assets" dataDxfId="567" totalsRowDxfId="568" dataCellStyle="Normal"/>
    <tableColumn id="9" xr3:uid="{716CB272-4563-4656-8FEF-0AE95DD8ECE7}" name="Annual Depreciation" dataDxfId="565" totalsRowDxfId="566" dataCellStyle="Normal">
      <calculatedColumnFormula>IFERROR(DEPRECIATION40[[#This Row],[Depreciable Cost]]/DEPRECIATION40[[#This Row],[Useful Life]], 0)</calculatedColumnFormula>
    </tableColumn>
    <tableColumn id="13" xr3:uid="{5CF51B31-6413-47D7-813C-9ACCD29B5E48}" name="Exceeded useful life" dataDxfId="563" totalsRowDxfId="564"/>
    <tableColumn id="10" xr3:uid="{08313A43-8234-4624-86BD-59CA0A6D4514}" name="Total Depreciation" totalsRowFunction="sum" dataDxfId="561" totalsRowDxfId="562" dataCellStyle="Normal">
      <calculatedColumnFormula>IF(DEPRECIATION40[[#This Row],[Exceeded useful life]]="YES",0,IFERROR(DEPRECIATION40[[#This Row],[Number of Assets]]*DEPRECIATION40[[#This Row],[Annual Depreciation]],0))</calculatedColumnFormula>
    </tableColumn>
    <tableColumn id="11" xr3:uid="{8D0F20F5-F2C0-45A1-A653-EE822BEDB3F4}" name="Remarks" dataDxfId="559" totalsRowDxfId="560" dataCellStyle="Normal"/>
  </tableColumns>
  <tableStyleInfo name="TableStyleLight16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9899520-2839-47C8-8AE8-3497237AAA37}" name="PERSONNEL_REGULAR41" displayName="PERSONNEL_REGULAR41" ref="C8:P19" totalsRowCount="1" headerRowDxfId="558" dataDxfId="557" totalsRowDxfId="556" tableBorderDxfId="555" headerRowCellStyle="Accent1" dataCellStyle="Normal" totalsRowCellStyle="Check Cell">
  <autoFilter ref="C8:P18" xr:uid="{D8A17D39-1767-4998-A9CA-B811ECBCFD3A}"/>
  <tableColumns count="14">
    <tableColumn id="1" xr3:uid="{388A7D10-7EB7-454D-843A-855A424BCA8A}" name="NO." totalsRowLabel="Total" dataDxfId="554" totalsRowDxfId="492" dataCellStyle="Normal"/>
    <tableColumn id="2" xr3:uid="{DF852D78-0264-4452-9117-FA6918BA1569}" name="Name" dataDxfId="553" totalsRowDxfId="491" dataCellStyle="Normal"/>
    <tableColumn id="3" xr3:uid="{DE2A4807-58CC-4BA1-BBA0-D29879B7EA24}" name="Official Designation" dataDxfId="552" totalsRowDxfId="490" dataCellStyle="Normal"/>
    <tableColumn id="4" xr3:uid="{EF1110A8-96EE-47B1-885B-2897E4566AB9}" name="Annual Salary" totalsRowFunction="sum" dataDxfId="551" totalsRowDxfId="489" dataCellStyle="Normal"/>
    <tableColumn id="5" xr3:uid="{7B1C72F3-A4AF-4A78-AB96-8D7644E0F2BE}" name="Benefit/Contribution (1)" totalsRowFunction="sum" dataDxfId="550" totalsRowDxfId="488" dataCellStyle="Normal"/>
    <tableColumn id="6" xr3:uid="{0BB1016D-4597-4CE8-B5E7-6E245CBE1E35}" name="Benefit/Contribution (2)" totalsRowFunction="sum" dataDxfId="549" totalsRowDxfId="487" dataCellStyle="Normal"/>
    <tableColumn id="14" xr3:uid="{E9E4921F-5AF4-456B-8A33-73C59E3B6FAB}" name="Benefit/Contribution (3)" totalsRowFunction="sum" dataDxfId="548" totalsRowDxfId="486" dataCellStyle="Normal"/>
    <tableColumn id="13" xr3:uid="{A80AB44C-1DD2-4D3F-9491-7B30D9DE84F4}" name="Benefit/Contribution (4)" totalsRowFunction="sum" dataDxfId="547" totalsRowDxfId="485" dataCellStyle="Normal"/>
    <tableColumn id="7" xr3:uid="{2759A7A3-4EA9-4DCA-BEA5-C528A4E53C7F}" name="Benefit/Contribution (5)" totalsRowFunction="sum" dataDxfId="546" totalsRowDxfId="484" dataCellStyle="Normal"/>
    <tableColumn id="8" xr3:uid="{BDF72AC4-20E0-4A73-AAB3-F3C7E6385B39}" name="Other Benefits" totalsRowFunction="sum" dataDxfId="545" totalsRowDxfId="483" dataCellStyle="Normal"/>
    <tableColumn id="9" xr3:uid="{E6C54E3D-1CDD-48B1-9FCB-8C817A7C62C6}" name="Estimated % Time Allocation" dataDxfId="544" totalsRowDxfId="482" dataCellStyle="Percent"/>
    <tableColumn id="10" xr3:uid="{082AC22A-C011-4957-8C29-34ACEF599FED}" name="Total Yearly Personnel Expense" totalsRowFunction="sum" dataDxfId="543" totalsRowDxfId="481" dataCellStyle="Normal">
      <calculatedColumnFormula>SUM(F9:L9)*M9</calculatedColumnFormula>
    </tableColumn>
    <tableColumn id="11" xr3:uid="{F95D58E0-C238-44C2-9B4F-35D2BA23BD35}" name="Specific Tasks" dataDxfId="542" totalsRowDxfId="480" dataCellStyle="Normal"/>
    <tableColumn id="12" xr3:uid="{B0AEE803-A649-4F99-8AA7-37B5F2EBB5B4}" name="Remarks" dataDxfId="541" totalsRowDxfId="479" dataCellStyle="Normal"/>
  </tableColumns>
  <tableStyleInfo name="TableStyleLight1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DFFB19D-7345-477E-94DF-FCE7FB105665}" name="PERSONNEL_CONTRACTUAL42" displayName="PERSONNEL_CONTRACTUAL42" ref="C24:P31" totalsRowCount="1" headerRowDxfId="540" dataDxfId="539" totalsRowDxfId="538" tableBorderDxfId="537" headerRowCellStyle="Accent1" dataCellStyle="Normal" totalsRowCellStyle="Check Cell">
  <autoFilter ref="C24:P30" xr:uid="{61592270-3747-4A2D-A8F0-479481BD52E2}"/>
  <tableColumns count="14">
    <tableColumn id="1" xr3:uid="{F98EE39A-F119-4CC4-9837-F1E32C32E526}" name="NO." totalsRowLabel="Total" dataDxfId="535" totalsRowDxfId="536" dataCellStyle="Normal"/>
    <tableColumn id="2" xr3:uid="{5249143B-53AB-4E90-A3B9-E17EC4805240}" name="Name" dataDxfId="533" totalsRowDxfId="534" dataCellStyle="Normal"/>
    <tableColumn id="3" xr3:uid="{0C9BACFA-EC27-4CC3-BF97-D0C6112B7006}" name="Official Designation" dataDxfId="531" totalsRowDxfId="532" dataCellStyle="Normal"/>
    <tableColumn id="4" xr3:uid="{561675F5-96FB-4A94-BF70-4AFF275A487A}" name="Annual Salary" totalsRowFunction="sum" dataDxfId="529" totalsRowDxfId="530" dataCellStyle="Normal"/>
    <tableColumn id="5" xr3:uid="{664C8AC4-6A50-4364-B118-03EB02660E60}" name="Benefit/Contribution (1)" totalsRowFunction="sum" dataDxfId="527" totalsRowDxfId="528" dataCellStyle="Normal"/>
    <tableColumn id="6" xr3:uid="{88ADB1A7-4B2A-47DE-9CA8-4420ABC3DBCD}" name="Benefit/Contribution (2)" totalsRowFunction="sum" dataDxfId="525" totalsRowDxfId="526" dataCellStyle="Normal"/>
    <tableColumn id="14" xr3:uid="{24C3D2AD-1F93-4DA7-97F5-6258589824AF}" name="Benefit/Contribution (3)" totalsRowFunction="sum" dataDxfId="523" totalsRowDxfId="524" dataCellStyle="Normal"/>
    <tableColumn id="13" xr3:uid="{2190B85A-DADC-477A-9DBA-9E34CAEAD416}" name="Benefit/Contribution (4)" totalsRowFunction="sum" dataDxfId="521" totalsRowDxfId="522" dataCellStyle="Normal"/>
    <tableColumn id="7" xr3:uid="{DDEF515C-A706-410E-9F2F-A72BF554F927}" name="Benefit/Contribution (5)" totalsRowFunction="sum" dataDxfId="519" totalsRowDxfId="520" dataCellStyle="Normal"/>
    <tableColumn id="8" xr3:uid="{E5EB0430-E85A-4606-AC46-D5DC576D7AC1}" name="Other Benefits" totalsRowFunction="sum" dataDxfId="517" totalsRowDxfId="518" dataCellStyle="Normal"/>
    <tableColumn id="9" xr3:uid="{700C532A-5EFD-4629-83C3-CABA8E3A3D8D}" name="Estimated % Time Allocation" dataDxfId="515" totalsRowDxfId="516" dataCellStyle="Percent"/>
    <tableColumn id="10" xr3:uid="{D06C9BCB-079B-49E6-8694-1CD9342889BA}" name="Total Yearly Personnel Expense" totalsRowFunction="sum" dataDxfId="513" totalsRowDxfId="514" dataCellStyle="Normal">
      <calculatedColumnFormula>SUM(F25:L25)*M25</calculatedColumnFormula>
    </tableColumn>
    <tableColumn id="11" xr3:uid="{19DC2544-8F29-44E8-8D3C-3318E72C8F75}" name="Specific Tasks" dataDxfId="511" totalsRowDxfId="512" dataCellStyle="Normal"/>
    <tableColumn id="12" xr3:uid="{4C5645A7-4D83-4657-9AF5-80BAAAB8F512}" name="Remarks" dataDxfId="509" totalsRowDxfId="510" dataCellStyle="Normal"/>
  </tableColumns>
  <tableStyleInfo name="TableStyleLight1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2EDD7AF-D958-4E43-84D7-7CE2C26DD95F}" name="tblSummaryCash43" displayName="tblSummaryCash43" ref="D103:E106" totalsRowCount="1" headerRowDxfId="508" dataDxfId="507" totalsRowDxfId="506">
  <autoFilter ref="D103:E105" xr:uid="{B063D752-8E6D-48F9-B731-803B46E1AD00}"/>
  <tableColumns count="2">
    <tableColumn id="1" xr3:uid="{632B52C8-C218-4AA4-8DF7-837CB7AD04B1}" name="(HIDDEN)" totalsRowLabel="Total (HIDDEN)" dataDxfId="504" totalsRowDxfId="505"/>
    <tableColumn id="2" xr3:uid="{19623F10-6C43-4719-B58F-0542652D0CE7}" name="(HIDDEN)2" totalsRowFunction="custom" dataDxfId="502" totalsRowDxfId="503">
      <calculatedColumnFormula>SUM(
SUBTOTAL(109,OPEX_COSTS31[Total Annual Cost]),
SUBTOTAL(109,OTHER_COST39[Total Annual Cost])
)</calculatedColumnFormula>
      <totalsRowFormula>PERSONNEL_REGULAR41[[#Totals],[Total Yearly Personnel Expense]]+PERSONNEL_CONTRACTUAL42[[#Totals],[Total Yearly Personnel Expense]]+SUBTOTAL(109,OPEX_COSTS31[Total Annual Cost])+
SUBTOTAL(109,OTHER_COST39[Total Annual Cost])</totalsRow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10C04C7-0338-46BE-BD60-1BC7125A4804}" name="tblSummaryNonCash44" displayName="tblSummaryNonCash44" ref="D107:E109" totalsRowCount="1" headerRowDxfId="501" dataDxfId="500" totalsRowDxfId="499" headerRowBorderDxfId="497" tableBorderDxfId="498">
  <autoFilter ref="D107:E108" xr:uid="{E214E1DD-911D-44DB-AA4F-844237992A6A}"/>
  <tableColumns count="2">
    <tableColumn id="1" xr3:uid="{6F7073BB-5E92-4EBC-B202-28DA71516E9C}" name="(HIDDEN)" totalsRowLabel="Total (HIDDEN)" dataDxfId="495" totalsRowDxfId="496"/>
    <tableColumn id="2" xr3:uid="{A7C5F15F-9E45-4063-83E7-34655AE813D5}" name="(HIDDEN)2" totalsRowFunction="sum" dataDxfId="493" totalsRowDxfId="494">
      <calculatedColumnFormula>DEPRECIATION40[[#Totals],[Total Depreciation]]</calculatedColumnFormula>
    </tableColumn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42D681C-3224-48EE-8684-F2CAE8946C3C}" name="OPEX_COSTS45" displayName="OPEX_COSTS45" ref="C38:F66" totalsRowCount="1" headerRowDxfId="474" dataDxfId="473" totalsRowDxfId="472" headerRowBorderDxfId="470" tableBorderDxfId="471" headerRowCellStyle="Accent1" dataCellStyle="Normal" totalsRowCellStyle="Check Cell">
  <autoFilter ref="C38:F65" xr:uid="{17706A83-0B53-4719-9458-52CDE877EC5E}"/>
  <tableColumns count="4">
    <tableColumn id="1" xr3:uid="{945B3E6B-D332-4B22-9C52-69B68EC7B5A9}" name="NO." totalsRowLabel="Total" dataDxfId="469" totalsRowDxfId="339" dataCellStyle="Normal"/>
    <tableColumn id="2" xr3:uid="{DE335FE6-8E8E-4FF9-9C02-5F52673B122D}" name="Description" dataDxfId="468" totalsRowDxfId="338" dataCellStyle="Normal"/>
    <tableColumn id="3" xr3:uid="{7C49C5C6-B30C-40AE-924D-C5658E460F60}" name="Total Annual Cost" totalsRowFunction="sum" dataDxfId="467" totalsRowDxfId="337" dataCellStyle="Normal"/>
    <tableColumn id="4" xr3:uid="{1B4ACC26-2E9C-4635-A50C-B37C60D1F987}" name="Remarks" dataDxfId="466" totalsRowDxfId="336" dataCellStyle="Normal"/>
  </tableColumns>
  <tableStyleInfo name="TableStyleLight16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9E26770-88DD-4C01-8B85-C6C95760F924}" name="OTHER_COST46" displayName="OTHER_COST46" ref="C72:H80" totalsRowCount="1" headerRowDxfId="465" dataDxfId="464" totalsRowDxfId="463" headerRowBorderDxfId="461" tableBorderDxfId="462" headerRowCellStyle="Accent1" dataCellStyle="Normal" totalsRowCellStyle="Check Cell">
  <autoFilter ref="C72:H79" xr:uid="{C534AFE9-FBC1-45C5-B105-C38564F67F5D}"/>
  <tableColumns count="6">
    <tableColumn id="1" xr3:uid="{4E0CB420-5123-4677-A295-D45287B6890C}" name="NO" totalsRowLabel="Total" dataDxfId="459" totalsRowDxfId="460" dataCellStyle="Normal" totalsRowCellStyle="Check Cell"/>
    <tableColumn id="2" xr3:uid="{97CB62AB-D00B-4AFD-9623-E1A1C3D6D2B1}" name="Description" dataDxfId="457" totalsRowDxfId="458" dataCellStyle="Normal" totalsRowCellStyle="Check Cell"/>
    <tableColumn id="3" xr3:uid="{98CBB3DA-BB44-42ED-A988-B5676A3E7C3D}" name="Cost per Unit" dataDxfId="455" totalsRowDxfId="456" dataCellStyle="Normal" totalsRowCellStyle="Check Cell"/>
    <tableColumn id="4" xr3:uid="{B7214ECA-ECB6-4B50-8459-E27774F0995A}" name="Units" dataDxfId="453" totalsRowDxfId="454" dataCellStyle="Normal" totalsRowCellStyle="Check Cell"/>
    <tableColumn id="5" xr3:uid="{6B0516EF-77FD-45BC-B8EA-F69ED7621521}" name="Total Annual Cost" totalsRowFunction="sum" dataDxfId="451" totalsRowDxfId="452" dataCellStyle="Normal" totalsRowCellStyle="Check Cell"/>
    <tableColumn id="6" xr3:uid="{08DD9384-7498-455B-89EF-E8FCDBD5F7CA}" name="Remarks" dataDxfId="449" totalsRowDxfId="450" dataCellStyle="Normal" totalsRowCellStyle="Check Cell"/>
  </tableColumns>
  <tableStyleInfo name="TableStyleLight16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4C71B9B-D7E1-4D97-94F2-7636B7F213CA}" name="DEPRECIATION47" displayName="DEPRECIATION47" ref="C86:N94" totalsRowCount="1" headerRowDxfId="448" dataDxfId="447" totalsRowDxfId="446" headerRowBorderDxfId="444" tableBorderDxfId="445" headerRowCellStyle="Accent1" dataCellStyle="Normal" totalsRowCellStyle="Check Cell">
  <autoFilter ref="C86:N93" xr:uid="{07F1DF58-CBE1-4D69-A664-C715FDC27514}"/>
  <tableColumns count="12">
    <tableColumn id="1" xr3:uid="{1D24A38C-4F98-4805-A510-03FDE908444D}" name="No." totalsRowLabel="Total" dataDxfId="442" totalsRowDxfId="443" dataCellStyle="Normal"/>
    <tableColumn id="2" xr3:uid="{CF64BCED-ED44-43A2-AD9A-ABBEAD7F7F06}" name="Description" dataDxfId="440" totalsRowDxfId="441" dataCellStyle="Normal"/>
    <tableColumn id="3" xr3:uid="{AB9E85C5-0324-44A0-8DD5-429AC521E29B}" name="Year Acquired" dataDxfId="438" totalsRowDxfId="439" dataCellStyle="Normal"/>
    <tableColumn id="4" xr3:uid="{999F0037-CFFE-4ABB-9B2F-1A5540DF9FD4}" name="Initial Cost If Purchased or Value of Granted Asset" dataDxfId="436" totalsRowDxfId="437" dataCellStyle="Normal"/>
    <tableColumn id="5" xr3:uid="{8031CAC7-B40D-4A73-9AFD-4FBD1B011431}" name="Salvage Value" dataDxfId="434" totalsRowDxfId="435" dataCellStyle="Normal"/>
    <tableColumn id="6" xr3:uid="{0F963958-1715-44FF-B245-F3843AB61E63}" name="Depreciable Cost" totalsRowFunction="sum" dataDxfId="432" totalsRowDxfId="433" dataCellStyle="Normal">
      <calculatedColumnFormula>DEPRECIATION47[[#This Row],[Initial Cost If Purchased or Value of Granted Asset]]-DEPRECIATION47[[#This Row],[Salvage Value]]</calculatedColumnFormula>
    </tableColumn>
    <tableColumn id="7" xr3:uid="{E0268258-C7A1-4A1F-B1E5-98B03C4AFFCD}" name="Useful Life" dataDxfId="430" totalsRowDxfId="431" dataCellStyle="Normal"/>
    <tableColumn id="8" xr3:uid="{920C1B37-EE29-42B7-ACC5-07570EE4DFF0}" name="Number of Assets" dataDxfId="428" totalsRowDxfId="429" dataCellStyle="Normal"/>
    <tableColumn id="9" xr3:uid="{D125F114-247F-49C5-9E9C-28A2C388EAF7}" name="Annual Depreciation" dataDxfId="426" totalsRowDxfId="427" dataCellStyle="Normal">
      <calculatedColumnFormula>IFERROR(DEPRECIATION47[[#This Row],[Depreciable Cost]]/DEPRECIATION47[[#This Row],[Useful Life]], 0)</calculatedColumnFormula>
    </tableColumn>
    <tableColumn id="13" xr3:uid="{8E984DCA-93DC-4EEC-9FD8-E883D25774F0}" name="Exceeded useful life" dataDxfId="424" totalsRowDxfId="425"/>
    <tableColumn id="10" xr3:uid="{0621E134-719D-429D-8B8E-C948D61B2AA8}" name="Total Depreciation" totalsRowFunction="sum" dataDxfId="422" totalsRowDxfId="423" dataCellStyle="Normal">
      <calculatedColumnFormula>IF(DEPRECIATION47[[#This Row],[Exceeded useful life]]="YES",0,IFERROR(DEPRECIATION47[[#This Row],[Number of Assets]]*DEPRECIATION47[[#This Row],[Annual Depreciation]],0))</calculatedColumnFormula>
    </tableColumn>
    <tableColumn id="11" xr3:uid="{21A24466-769D-46BE-82D6-7571E5AFE666}" name="Remarks" dataDxfId="420" totalsRowDxfId="421" dataCellStyle="Normal"/>
  </tableColumns>
  <tableStyleInfo name="TableStyleLight16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DD5CA7F-84DC-4205-82E1-C708AA140772}" name="PERSONNEL_REGULAR48" displayName="PERSONNEL_REGULAR48" ref="C8:P19" totalsRowCount="1" headerRowDxfId="419" dataDxfId="418" totalsRowDxfId="417" tableBorderDxfId="416" headerRowCellStyle="Accent1" dataCellStyle="Normal" totalsRowCellStyle="Check Cell">
  <autoFilter ref="C8:P18" xr:uid="{D8A17D39-1767-4998-A9CA-B811ECBCFD3A}"/>
  <tableColumns count="14">
    <tableColumn id="1" xr3:uid="{3137E11D-258B-444F-8636-C79D40C28AC9}" name="NO." totalsRowLabel="Total" dataDxfId="415" totalsRowDxfId="353" dataCellStyle="Normal"/>
    <tableColumn id="2" xr3:uid="{A06F61A0-0AB1-4CC8-8481-BF5EB4A7FE75}" name="Name" dataDxfId="414" totalsRowDxfId="352" dataCellStyle="Normal"/>
    <tableColumn id="3" xr3:uid="{CBE4F801-0A99-4247-8A06-E9CEDDD8CBC4}" name="Official Designation" dataDxfId="413" totalsRowDxfId="351" dataCellStyle="Normal"/>
    <tableColumn id="4" xr3:uid="{0E403F4F-2A21-4986-9ADE-26CC2BF38A9D}" name="Annual Salary" totalsRowFunction="sum" dataDxfId="412" totalsRowDxfId="350" dataCellStyle="Normal"/>
    <tableColumn id="5" xr3:uid="{AB65DBBB-1A7E-4263-A8E4-191C5453ED96}" name="Benefit/Contribution (1)" totalsRowFunction="sum" dataDxfId="411" totalsRowDxfId="349" dataCellStyle="Normal"/>
    <tableColumn id="6" xr3:uid="{4A874F57-4F29-4DC2-BDA5-55D04EF1C76E}" name="Benefit/Contribution (2)" totalsRowFunction="sum" dataDxfId="410" totalsRowDxfId="348" dataCellStyle="Normal"/>
    <tableColumn id="14" xr3:uid="{46A5A19E-34F6-4CB3-81F9-F103CAE3C63A}" name="Benefit/Contribution (3)" totalsRowFunction="sum" dataDxfId="409" totalsRowDxfId="347" dataCellStyle="Normal"/>
    <tableColumn id="13" xr3:uid="{45559AA4-344E-48DA-8B94-4FAEBC39040F}" name="Benefit/Contribution (4)" totalsRowFunction="sum" dataDxfId="408" totalsRowDxfId="346" dataCellStyle="Normal"/>
    <tableColumn id="7" xr3:uid="{C3DE5D36-12E0-4B83-B7C3-7844079B76AF}" name="Benefit/Contribution (5)" totalsRowFunction="sum" dataDxfId="407" totalsRowDxfId="345" dataCellStyle="Normal"/>
    <tableColumn id="8" xr3:uid="{8BB75EA5-766E-40ED-B566-BD3F0920196E}" name="Other Benefits" totalsRowFunction="sum" dataDxfId="406" totalsRowDxfId="344" dataCellStyle="Normal"/>
    <tableColumn id="9" xr3:uid="{B4C933B4-C778-4D0E-8E4C-E2F6B2004A7F}" name="Estimated % Time Allocation" dataDxfId="405" totalsRowDxfId="343" dataCellStyle="Percent"/>
    <tableColumn id="10" xr3:uid="{E69AA476-4F1B-4931-8332-061AF61B7376}" name="Total Yearly Personnel Expense" totalsRowFunction="sum" dataDxfId="404" totalsRowDxfId="342" dataCellStyle="Normal">
      <calculatedColumnFormula>SUM(F9:L9)*M9</calculatedColumnFormula>
    </tableColumn>
    <tableColumn id="11" xr3:uid="{44AAA52B-D93B-422B-9CF2-6AAF0C703CA6}" name="Specific Tasks" dataDxfId="403" totalsRowDxfId="341" dataCellStyle="Normal"/>
    <tableColumn id="12" xr3:uid="{CC82A1CB-7094-4870-B887-2E391C808BF2}" name="Remarks" dataDxfId="402" totalsRowDxfId="340" dataCellStyle="Normal"/>
  </tableColumns>
  <tableStyleInfo name="TableStyleLight16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6A0DA66-1D53-4CDE-8F25-D3A8E18DAAE7}" name="PERSONNEL_CONTRACTUAL49" displayName="PERSONNEL_CONTRACTUAL49" ref="C24:P31" totalsRowCount="1" headerRowDxfId="401" dataDxfId="400" totalsRowDxfId="399" tableBorderDxfId="398" headerRowCellStyle="Accent1" dataCellStyle="Normal" totalsRowCellStyle="Check Cell">
  <autoFilter ref="C24:P30" xr:uid="{61592270-3747-4A2D-A8F0-479481BD52E2}"/>
  <tableColumns count="14">
    <tableColumn id="1" xr3:uid="{E451547B-CF45-4487-A2A2-EE1B2240E19F}" name="NO." totalsRowLabel="Total" dataDxfId="396" totalsRowDxfId="397" dataCellStyle="Normal"/>
    <tableColumn id="2" xr3:uid="{EC2C4516-EF2D-4F80-A97A-85DDCCBCCF8B}" name="Name" dataDxfId="394" totalsRowDxfId="395" dataCellStyle="Normal"/>
    <tableColumn id="3" xr3:uid="{E8A43B07-1805-4A11-9350-F85E768B05D1}" name="Official Designation" dataDxfId="392" totalsRowDxfId="393" dataCellStyle="Normal"/>
    <tableColumn id="4" xr3:uid="{7F924A53-7031-48C9-B4E5-6097D23B1E73}" name="Annual Salary" totalsRowFunction="sum" dataDxfId="390" totalsRowDxfId="391" dataCellStyle="Normal"/>
    <tableColumn id="5" xr3:uid="{25A31EF7-BF72-4BCB-AB38-0196431A25C8}" name="Benefit/Contribution (1)" totalsRowFunction="sum" dataDxfId="388" totalsRowDxfId="389" dataCellStyle="Normal"/>
    <tableColumn id="6" xr3:uid="{8368A59C-3DC8-4DE2-95D2-E100AA7535E7}" name="Benefit/Contribution (2)" totalsRowFunction="sum" dataDxfId="386" totalsRowDxfId="387" dataCellStyle="Normal"/>
    <tableColumn id="14" xr3:uid="{10228D69-02E1-4B4F-86F4-D2F02C9AA960}" name="Benefit/Contribution (3)" totalsRowFunction="sum" dataDxfId="384" totalsRowDxfId="385" dataCellStyle="Normal"/>
    <tableColumn id="13" xr3:uid="{DD1D4204-DB53-45AD-9EEE-EAA5DB5739FE}" name="Benefit/Contribution (4)" totalsRowFunction="sum" dataDxfId="382" totalsRowDxfId="383" dataCellStyle="Normal"/>
    <tableColumn id="7" xr3:uid="{9B4D7F26-7E4C-4F18-A674-487D56B880FC}" name="Benefit/Contribution (5)" totalsRowFunction="sum" dataDxfId="380" totalsRowDxfId="381" dataCellStyle="Normal"/>
    <tableColumn id="8" xr3:uid="{677B4702-5835-4AE8-9E3D-2B5EBEE69C17}" name="Other Benefits" totalsRowFunction="sum" dataDxfId="378" totalsRowDxfId="379" dataCellStyle="Normal"/>
    <tableColumn id="9" xr3:uid="{CC264E90-1DE5-41C8-8F4E-71CF685E524E}" name="Estimated % Time Allocation" dataDxfId="376" totalsRowDxfId="377" dataCellStyle="Percent"/>
    <tableColumn id="10" xr3:uid="{6189F832-F0B5-4DD1-A154-2BB11567EF4E}" name="Total Yearly Personnel Expense" totalsRowFunction="sum" dataDxfId="374" totalsRowDxfId="375" dataCellStyle="Normal">
      <calculatedColumnFormula>SUM(F25:L25)*M25</calculatedColumnFormula>
    </tableColumn>
    <tableColumn id="11" xr3:uid="{A83CCCDF-244C-4D73-B921-FEB1E87A413C}" name="Specific Tasks" dataDxfId="372" totalsRowDxfId="373" dataCellStyle="Normal"/>
    <tableColumn id="12" xr3:uid="{318DF7D4-9257-45C4-AF80-1BF7F40E38B2}" name="Remarks" dataDxfId="370" totalsRowDxfId="371" dataCellStyle="Normal"/>
  </tableColumns>
  <tableStyleInfo name="TableStyleLight16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910CEB87-979A-4EED-B0DD-E58836194F77}" name="tblSummaryCash50" displayName="tblSummaryCash50" ref="D103:E106" totalsRowCount="1" headerRowDxfId="369" dataDxfId="368" totalsRowDxfId="367">
  <autoFilter ref="D103:E105" xr:uid="{B063D752-8E6D-48F9-B731-803B46E1AD00}"/>
  <tableColumns count="2">
    <tableColumn id="1" xr3:uid="{D9F3E0ED-A9C9-45B0-A165-3C70BC59C18E}" name="(HIDDEN)" totalsRowLabel="Total (HIDDEN)" dataDxfId="365" totalsRowDxfId="366"/>
    <tableColumn id="2" xr3:uid="{43FD2180-B7E3-4FFD-A25A-289207057B97}" name="(HIDDEN)2" totalsRowFunction="custom" dataDxfId="363" totalsRowDxfId="364">
      <calculatedColumnFormula>SUM(
SUBTOTAL(109,OPEX_COSTS45[Total Annual Cost]),
SUBTOTAL(109,OTHER_COST46[Total Annual Cost])
)</calculatedColumnFormula>
      <totalsRowFormula>PERSONNEL_REGULAR48[[#Totals],[Total Yearly Personnel Expense]]+PERSONNEL_CONTRACTUAL49[[#Totals],[Total Yearly Personnel Expense]]+SUBTOTAL(109,OPEX_COSTS45[Total Annual Cost])+
SUBTOTAL(109,OTHER_COST46[Total Annual Cost])</totalsRowFormula>
    </tableColumn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2F3B6AF-0B41-49F1-B80A-EDEAE7F29A20}" name="tblSummaryNonCash51" displayName="tblSummaryNonCash51" ref="D107:E109" totalsRowCount="1" headerRowDxfId="362" dataDxfId="361" totalsRowDxfId="360" headerRowBorderDxfId="358" tableBorderDxfId="359">
  <autoFilter ref="D107:E108" xr:uid="{E214E1DD-911D-44DB-AA4F-844237992A6A}"/>
  <tableColumns count="2">
    <tableColumn id="1" xr3:uid="{DD32AD4A-4D11-4E33-8165-283404B71B7D}" name="(HIDDEN)" totalsRowLabel="Total (HIDDEN)" dataDxfId="356" totalsRowDxfId="357"/>
    <tableColumn id="2" xr3:uid="{EF881CDF-E086-47CC-9651-DC50BB4798DB}" name="(HIDDEN)2" totalsRowFunction="sum" dataDxfId="354" totalsRowDxfId="355">
      <calculatedColumnFormula>DEPRECIATION47[[#Totals],[Total Depreciation]]</calculatedColumnFormula>
    </tableColumn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3DE21B12-9F28-4937-A885-F1266B37A3D5}" name="OPEX_COSTS52" displayName="OPEX_COSTS52" ref="C38:F66" totalsRowCount="1" headerRowDxfId="335" dataDxfId="334" totalsRowDxfId="333" headerRowBorderDxfId="331" tableBorderDxfId="332" headerRowCellStyle="Accent1" dataCellStyle="Normal" totalsRowCellStyle="Check Cell">
  <autoFilter ref="C38:F65" xr:uid="{17706A83-0B53-4719-9458-52CDE877EC5E}"/>
  <tableColumns count="4">
    <tableColumn id="1" xr3:uid="{79872204-B770-4D0E-8374-3A2C48400AB3}" name="NO." totalsRowLabel="Total" dataDxfId="329" totalsRowDxfId="330" dataCellStyle="Normal"/>
    <tableColumn id="2" xr3:uid="{A62186DE-452B-427A-83DE-F0E706E299E3}" name="Description" dataDxfId="327" totalsRowDxfId="328" dataCellStyle="Normal"/>
    <tableColumn id="3" xr3:uid="{E51D2204-7ECB-4718-BBDB-49143E6A3DA2}" name="Total Annual Cost" totalsRowFunction="sum" dataDxfId="325" totalsRowDxfId="326" dataCellStyle="Normal"/>
    <tableColumn id="4" xr3:uid="{D1A18E3B-4F4C-4C47-9EC9-699084634A4A}" name="Remarks" dataDxfId="323" totalsRowDxfId="324" dataCellStyle="Normal"/>
  </tableColumns>
  <tableStyleInfo name="TableStyleLight16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176512B-A628-4619-9E0B-93639E7863F8}" name="OTHER_COST53" displayName="OTHER_COST53" ref="C72:H80" totalsRowCount="1" headerRowDxfId="322" dataDxfId="321" totalsRowDxfId="320" headerRowBorderDxfId="318" tableBorderDxfId="319" headerRowCellStyle="Accent1" dataCellStyle="Normal" totalsRowCellStyle="Check Cell">
  <autoFilter ref="C72:H79" xr:uid="{C534AFE9-FBC1-45C5-B105-C38564F67F5D}"/>
  <tableColumns count="6">
    <tableColumn id="1" xr3:uid="{5369E5CD-D049-4C8F-B474-03244368E631}" name="NO" totalsRowLabel="Total" dataDxfId="316" totalsRowDxfId="317" dataCellStyle="Normal" totalsRowCellStyle="Check Cell"/>
    <tableColumn id="2" xr3:uid="{F6F29C6C-69C7-47F1-8B33-F20C718735CC}" name="Description" dataDxfId="314" totalsRowDxfId="315" dataCellStyle="Normal" totalsRowCellStyle="Check Cell"/>
    <tableColumn id="3" xr3:uid="{B4095A10-D2BF-4284-9051-88B0954449A1}" name="Cost per Unit" dataDxfId="312" totalsRowDxfId="313" dataCellStyle="Normal" totalsRowCellStyle="Check Cell"/>
    <tableColumn id="4" xr3:uid="{159F9E7F-85B8-4EFC-BC7C-A44F5EE2FD5B}" name="Units" dataDxfId="310" totalsRowDxfId="311" dataCellStyle="Normal" totalsRowCellStyle="Check Cell"/>
    <tableColumn id="5" xr3:uid="{F48951F5-E163-4D91-A090-ECB2BCD53C8E}" name="Total Annual Cost" totalsRowFunction="sum" dataDxfId="308" totalsRowDxfId="309" dataCellStyle="Normal" totalsRowCellStyle="Check Cell"/>
    <tableColumn id="6" xr3:uid="{4E50F2E3-F0F8-4FA8-ABFC-0C9624E8B1B6}" name="Remarks" dataDxfId="306" totalsRowDxfId="307" dataCellStyle="Normal" totalsRowCellStyle="Check Cell"/>
  </tableColumns>
  <tableStyleInfo name="TableStyleLight16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6C5D8580-31B2-4C70-8219-3786D8C8F623}" name="DEPRECIATION54" displayName="DEPRECIATION54" ref="C86:N94" totalsRowCount="1" headerRowDxfId="305" dataDxfId="304" totalsRowDxfId="303" headerRowBorderDxfId="301" tableBorderDxfId="302" headerRowCellStyle="Accent1" dataCellStyle="Normal" totalsRowCellStyle="Check Cell">
  <autoFilter ref="C86:N93" xr:uid="{07F1DF58-CBE1-4D69-A664-C715FDC27514}"/>
  <tableColumns count="12">
    <tableColumn id="1" xr3:uid="{5B58736D-C499-4983-B95F-8CB49810E3AA}" name="No." totalsRowLabel="Total" dataDxfId="299" totalsRowDxfId="300" dataCellStyle="Normal"/>
    <tableColumn id="2" xr3:uid="{3ADF5F29-3306-4271-A78B-8261BF489343}" name="Description" dataDxfId="297" totalsRowDxfId="298" dataCellStyle="Normal"/>
    <tableColumn id="3" xr3:uid="{52802EF5-4AF0-4859-BADB-7394DA9969C3}" name="Year Acquired" dataDxfId="295" totalsRowDxfId="296" dataCellStyle="Normal"/>
    <tableColumn id="4" xr3:uid="{A2330960-3DB0-4DE0-8703-A69613CA2ACB}" name="Initial Cost If Purchased or Value of Granted Asset" dataDxfId="293" totalsRowDxfId="294" dataCellStyle="Normal"/>
    <tableColumn id="5" xr3:uid="{7001206D-F28D-47D4-8EE8-C4840A748688}" name="Salvage Value" dataDxfId="291" totalsRowDxfId="292" dataCellStyle="Normal"/>
    <tableColumn id="6" xr3:uid="{7B649565-AC80-4589-9094-6C35B3589CA9}" name="Depreciable Cost" totalsRowFunction="sum" dataDxfId="289" totalsRowDxfId="290" dataCellStyle="Normal">
      <calculatedColumnFormula>DEPRECIATION54[[#This Row],[Initial Cost If Purchased or Value of Granted Asset]]-DEPRECIATION54[[#This Row],[Salvage Value]]</calculatedColumnFormula>
    </tableColumn>
    <tableColumn id="7" xr3:uid="{1F5CE681-CE16-4ACB-8268-1DB7D6AA9077}" name="Useful Life" dataDxfId="287" totalsRowDxfId="288" dataCellStyle="Normal"/>
    <tableColumn id="8" xr3:uid="{4C1B8390-BC57-4506-A9E6-95B5A4B922A9}" name="Number of Assets" dataDxfId="285" totalsRowDxfId="286" dataCellStyle="Normal"/>
    <tableColumn id="9" xr3:uid="{E861229A-7BDE-478C-8185-87C9D5949145}" name="Annual Depreciation" dataDxfId="283" totalsRowDxfId="284" dataCellStyle="Normal">
      <calculatedColumnFormula>IFERROR(DEPRECIATION54[[#This Row],[Depreciable Cost]]/DEPRECIATION54[[#This Row],[Useful Life]], 0)</calculatedColumnFormula>
    </tableColumn>
    <tableColumn id="13" xr3:uid="{6615BB34-1FB6-44D8-8A84-558C7548727A}" name="Exceeded useful life" dataDxfId="281" totalsRowDxfId="282"/>
    <tableColumn id="10" xr3:uid="{A50B0A9D-D464-4BC8-8E8D-B0ED7E6211DA}" name="Total Depreciation" totalsRowFunction="sum" dataDxfId="279" totalsRowDxfId="280" dataCellStyle="Normal">
      <calculatedColumnFormula>IF(DEPRECIATION54[[#This Row],[Exceeded useful life]]="YES",0,IFERROR(DEPRECIATION54[[#This Row],[Number of Assets]]*DEPRECIATION54[[#This Row],[Annual Depreciation]],0))</calculatedColumnFormula>
    </tableColumn>
    <tableColumn id="11" xr3:uid="{A6AC3C2F-9885-4289-8DC9-FDCDB7812CC4}" name="Remarks" dataDxfId="277" totalsRowDxfId="278" dataCellStyle="Normal"/>
  </tableColumns>
  <tableStyleInfo name="TableStyleLight16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7A04BB1D-372C-418E-AE0B-6A1ED90D1B3C}" name="PERSONNEL_REGULAR55" displayName="PERSONNEL_REGULAR55" ref="C8:P19" totalsRowCount="1" headerRowDxfId="276" dataDxfId="275" totalsRowDxfId="274" tableBorderDxfId="273" headerRowCellStyle="Accent1" dataCellStyle="Normal" totalsRowCellStyle="Check Cell">
  <autoFilter ref="C8:P18" xr:uid="{D8A17D39-1767-4998-A9CA-B811ECBCFD3A}"/>
  <tableColumns count="14">
    <tableColumn id="1" xr3:uid="{C8D2EDD7-9FBA-4FBE-AEF7-971C6E7B643B}" name="NO." totalsRowLabel="Total" dataDxfId="272" totalsRowDxfId="210" dataCellStyle="Normal"/>
    <tableColumn id="2" xr3:uid="{B834C369-B223-42AB-A283-B577835514F7}" name="Name" dataDxfId="271" totalsRowDxfId="209" dataCellStyle="Normal"/>
    <tableColumn id="3" xr3:uid="{F009CE80-85E0-4F1C-A07E-EFE9AE9E75F8}" name="Official Designation" dataDxfId="270" totalsRowDxfId="208" dataCellStyle="Normal"/>
    <tableColumn id="4" xr3:uid="{10989819-E8FA-427A-8B7C-5514DCF3C589}" name="Annual Salary" totalsRowFunction="sum" dataDxfId="269" totalsRowDxfId="207" dataCellStyle="Normal"/>
    <tableColumn id="5" xr3:uid="{05AA6DAF-4950-45B0-8EAB-EFABA7B750DF}" name="Benefit/Contribution (1)" totalsRowFunction="sum" dataDxfId="268" totalsRowDxfId="206" dataCellStyle="Normal"/>
    <tableColumn id="6" xr3:uid="{451BC951-A63A-4FC7-A214-0DD183C55231}" name="Benefit/Contribution (2)" totalsRowFunction="sum" dataDxfId="267" totalsRowDxfId="205" dataCellStyle="Normal"/>
    <tableColumn id="14" xr3:uid="{DE3AF08D-B16C-417D-8C59-01337BC18525}" name="Benefit/Contribution (3)" totalsRowFunction="sum" dataDxfId="266" totalsRowDxfId="204" dataCellStyle="Normal"/>
    <tableColumn id="13" xr3:uid="{57F783CC-0CFA-4C21-BBEF-7AD04AA07082}" name="Benefit/Contribution (4)" totalsRowFunction="sum" dataDxfId="265" totalsRowDxfId="203" dataCellStyle="Normal"/>
    <tableColumn id="7" xr3:uid="{26311B43-6A0A-4810-9A30-5BD14EABE3BB}" name="Benefit/Contribution (5)" totalsRowFunction="sum" dataDxfId="264" totalsRowDxfId="202" dataCellStyle="Normal"/>
    <tableColumn id="8" xr3:uid="{07FC3E3E-B4B7-4BEA-BA15-19B658E16DB0}" name="Other Benefits" totalsRowFunction="sum" dataDxfId="263" totalsRowDxfId="201" dataCellStyle="Normal"/>
    <tableColumn id="9" xr3:uid="{6C6F044E-880C-41D7-860A-1EB4034D2007}" name="Estimated % Time Allocation" dataDxfId="262" totalsRowDxfId="200" dataCellStyle="Percent"/>
    <tableColumn id="10" xr3:uid="{FAC5C8B8-35FB-4069-992B-4FE9DB2E83E4}" name="Total Yearly Personnel Expense" totalsRowFunction="sum" dataDxfId="261" totalsRowDxfId="199" dataCellStyle="Normal">
      <calculatedColumnFormula>SUM(F9:L9)*M9</calculatedColumnFormula>
    </tableColumn>
    <tableColumn id="11" xr3:uid="{9844701B-4D06-45E0-9671-3D28AE33B656}" name="Specific Tasks" dataDxfId="260" totalsRowDxfId="198" dataCellStyle="Normal"/>
    <tableColumn id="12" xr3:uid="{B3D2AE74-CF8E-4FBF-88A5-17CD99FDF428}" name="Remarks" dataDxfId="259" totalsRowDxfId="197" dataCellStyle="Normal"/>
  </tableColumns>
  <tableStyleInfo name="TableStyleLight16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55BA687-B015-46FF-B5D0-C6F58192E453}" name="PERSONNEL_CONTRACTUAL56" displayName="PERSONNEL_CONTRACTUAL56" ref="C24:P31" totalsRowCount="1" headerRowDxfId="258" dataDxfId="257" totalsRowDxfId="256" tableBorderDxfId="255" headerRowCellStyle="Accent1" dataCellStyle="Normal" totalsRowCellStyle="Check Cell">
  <autoFilter ref="C24:P30" xr:uid="{61592270-3747-4A2D-A8F0-479481BD52E2}"/>
  <tableColumns count="14">
    <tableColumn id="1" xr3:uid="{4EAFD134-497A-463E-B0D0-CD51EA3DF990}" name="NO." totalsRowLabel="Total" dataDxfId="253" totalsRowDxfId="254" dataCellStyle="Normal"/>
    <tableColumn id="2" xr3:uid="{926AD4A1-DE83-4CFD-BABB-26BF563F6393}" name="Name" dataDxfId="251" totalsRowDxfId="252" dataCellStyle="Normal"/>
    <tableColumn id="3" xr3:uid="{8BDA77E7-5E2E-45FE-B32D-B06BEF67C582}" name="Official Designation" dataDxfId="249" totalsRowDxfId="250" dataCellStyle="Normal"/>
    <tableColumn id="4" xr3:uid="{5BF8C70A-D36A-4389-90E2-D7104812FDBF}" name="Annual Salary" totalsRowFunction="sum" dataDxfId="247" totalsRowDxfId="248" dataCellStyle="Normal"/>
    <tableColumn id="5" xr3:uid="{51D54E34-69CB-4EC9-B4A7-E84DCA802B7A}" name="Benefit/Contribution (1)" totalsRowFunction="sum" dataDxfId="245" totalsRowDxfId="246" dataCellStyle="Normal"/>
    <tableColumn id="6" xr3:uid="{8EF64DD2-DE2D-4CB9-B739-EF6169943E25}" name="Benefit/Contribution (2)" totalsRowFunction="sum" dataDxfId="243" totalsRowDxfId="244" dataCellStyle="Normal"/>
    <tableColumn id="14" xr3:uid="{8A814376-6FD7-41DE-AA6A-316D163F814A}" name="Benefit/Contribution (3)" totalsRowFunction="sum" dataDxfId="241" totalsRowDxfId="242" dataCellStyle="Normal"/>
    <tableColumn id="13" xr3:uid="{279704FF-A3CF-4723-B873-3CC2C046D3EC}" name="Benefit/Contribution (4)" totalsRowFunction="sum" dataDxfId="239" totalsRowDxfId="240" dataCellStyle="Normal"/>
    <tableColumn id="7" xr3:uid="{7E04DAD7-ECD3-49AD-87F1-F22CD2962F8F}" name="Benefit/Contribution (5)" totalsRowFunction="sum" dataDxfId="237" totalsRowDxfId="238" dataCellStyle="Normal"/>
    <tableColumn id="8" xr3:uid="{F730EB6E-1566-47D7-9C84-10DA8694E85A}" name="Other Benefits" totalsRowFunction="sum" dataDxfId="235" totalsRowDxfId="236" dataCellStyle="Normal"/>
    <tableColumn id="9" xr3:uid="{FAD6EBE5-81D8-4F20-8EF2-292ACCE21788}" name="Estimated % Time Allocation" dataDxfId="233" totalsRowDxfId="234" dataCellStyle="Percent"/>
    <tableColumn id="10" xr3:uid="{B0080603-9D4D-4436-9109-4B107103D798}" name="Total Yearly Personnel Expense" totalsRowFunction="sum" dataDxfId="231" totalsRowDxfId="232" dataCellStyle="Normal">
      <calculatedColumnFormula>SUM(F25:L25)*M25</calculatedColumnFormula>
    </tableColumn>
    <tableColumn id="11" xr3:uid="{8B65C7FD-F28F-4D77-9C7C-02FDAB5CFF7B}" name="Specific Tasks" dataDxfId="229" totalsRowDxfId="230" dataCellStyle="Normal"/>
    <tableColumn id="12" xr3:uid="{A6EBC84E-08EA-4113-92B8-3559A9879263}" name="Remarks" dataDxfId="227" totalsRowDxfId="228" dataCellStyle="Normal"/>
  </tableColumns>
  <tableStyleInfo name="TableStyleLight16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F2AB62D4-F192-4BB9-A723-9953EFE30CF7}" name="tblSummaryCash57" displayName="tblSummaryCash57" ref="D103:E106" totalsRowCount="1" headerRowDxfId="226" dataDxfId="225" totalsRowDxfId="224">
  <autoFilter ref="D103:E105" xr:uid="{B063D752-8E6D-48F9-B731-803B46E1AD00}"/>
  <tableColumns count="2">
    <tableColumn id="1" xr3:uid="{ED698698-B5AF-4506-A24F-A3D2BCDEA0E0}" name="(HIDDEN)" totalsRowLabel="Total (HIDDEN)" dataDxfId="222" totalsRowDxfId="223"/>
    <tableColumn id="2" xr3:uid="{5B855C7A-8801-4846-B12B-4C0499B32719}" name="(HIDDEN)2" totalsRowFunction="custom" dataDxfId="220" totalsRowDxfId="221">
      <calculatedColumnFormula>SUM(
SUBTOTAL(109,OPEX_COSTS52[Total Annual Cost]),
SUBTOTAL(109,OTHER_COST53[Total Annual Cost])
)</calculatedColumnFormula>
      <totalsRowFormula>PERSONNEL_REGULAR55[[#Totals],[Total Yearly Personnel Expense]]+PERSONNEL_CONTRACTUAL56[[#Totals],[Total Yearly Personnel Expense]]+SUBTOTAL(109,OPEX_COSTS52[Total Annual Cost])+
SUBTOTAL(109,OTHER_COST53[Total Annual Cost])</totalsRowFormula>
    </tableColumn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3E393157-62AE-428E-9A65-47BF5860828A}" name="tblSummaryNonCash58" displayName="tblSummaryNonCash58" ref="D107:E109" totalsRowCount="1" headerRowDxfId="219" dataDxfId="218" totalsRowDxfId="217" headerRowBorderDxfId="215" tableBorderDxfId="216">
  <autoFilter ref="D107:E108" xr:uid="{E214E1DD-911D-44DB-AA4F-844237992A6A}"/>
  <tableColumns count="2">
    <tableColumn id="1" xr3:uid="{CBFEEE3E-AC6E-4FC4-9070-D13F41142527}" name="(HIDDEN)" totalsRowLabel="Total (HIDDEN)" dataDxfId="213" totalsRowDxfId="214"/>
    <tableColumn id="2" xr3:uid="{6C8B6A71-1CB9-4ABB-96E4-09D612D9F73F}" name="(HIDDEN)2" totalsRowFunction="sum" dataDxfId="211" totalsRowDxfId="212">
      <calculatedColumnFormula>DEPRECIATION54[[#Totals],[Total Depreciation]]</calculatedColumnFormula>
    </tableColumn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DD8DBCE-2396-4DF1-BFBB-18CCE3C9953B}" name="OPEX_COSTS59" displayName="OPEX_COSTS59" ref="C38:F66" totalsRowCount="1" headerRowDxfId="156" dataDxfId="155" totalsRowDxfId="154" headerRowBorderDxfId="152" tableBorderDxfId="153" headerRowCellStyle="Accent1" dataCellStyle="Normal" totalsRowCellStyle="Check Cell">
  <autoFilter ref="C38:F65" xr:uid="{17706A83-0B53-4719-9458-52CDE877EC5E}"/>
  <tableColumns count="4">
    <tableColumn id="1" xr3:uid="{373C3861-0D5E-44D8-979A-9F52A57CCAA3}" name="NO." totalsRowLabel="Total" dataDxfId="151" totalsRowDxfId="21" dataCellStyle="Normal"/>
    <tableColumn id="2" xr3:uid="{A927452C-B3A3-4F1A-80E9-A2982A7FF76B}" name="Description" dataDxfId="150" totalsRowDxfId="20" dataCellStyle="Normal"/>
    <tableColumn id="3" xr3:uid="{690CAEF8-A049-4B8F-A19F-FB1E622723B8}" name="Total Annual Cost" totalsRowFunction="sum" dataDxfId="149" totalsRowDxfId="19" dataCellStyle="Normal"/>
    <tableColumn id="4" xr3:uid="{8C46A0BB-4761-483C-BEB7-FFDA148A842B}" name="Remarks" dataDxfId="148" totalsRowDxfId="18" dataCellStyle="Normal"/>
  </tableColumns>
  <tableStyleInfo name="TableStyleLight16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023FEDC-C435-483A-BFE6-E2D8B9ECC600}" name="OTHER_COST60" displayName="OTHER_COST60" ref="C72:H80" totalsRowCount="1" headerRowDxfId="147" dataDxfId="146" totalsRowDxfId="145" headerRowBorderDxfId="143" tableBorderDxfId="144" headerRowCellStyle="Accent1" dataCellStyle="Normal" totalsRowCellStyle="Check Cell">
  <autoFilter ref="C72:H79" xr:uid="{C534AFE9-FBC1-45C5-B105-C38564F67F5D}"/>
  <tableColumns count="6">
    <tableColumn id="1" xr3:uid="{FA2A09D0-B3E8-43C2-B2C0-4CA58BBAB410}" name="NO" totalsRowLabel="Total" dataDxfId="141" totalsRowDxfId="142" dataCellStyle="Normal" totalsRowCellStyle="Check Cell"/>
    <tableColumn id="2" xr3:uid="{A65AAB76-56B2-43D2-93CF-31A0001D49EE}" name="Description" dataDxfId="139" totalsRowDxfId="140" dataCellStyle="Normal" totalsRowCellStyle="Check Cell"/>
    <tableColumn id="3" xr3:uid="{7B74B505-0862-42E7-B42C-2217D2811B31}" name="Cost per Unit" dataDxfId="137" totalsRowDxfId="138" dataCellStyle="Normal" totalsRowCellStyle="Check Cell"/>
    <tableColumn id="4" xr3:uid="{DC33F16D-E7CC-4C5B-B204-9E38FC0123A3}" name="Units" dataDxfId="135" totalsRowDxfId="136" dataCellStyle="Normal" totalsRowCellStyle="Check Cell"/>
    <tableColumn id="5" xr3:uid="{F11AFC06-C461-4203-8DD6-77EAEB4D2159}" name="Total Annual Cost" totalsRowFunction="sum" dataDxfId="133" totalsRowDxfId="134" dataCellStyle="Normal" totalsRowCellStyle="Check Cell"/>
    <tableColumn id="6" xr3:uid="{6101F64F-5F62-4EFD-B8FD-8AD9C0EC42EC}" name="Remarks" dataDxfId="131" totalsRowDxfId="132" dataCellStyle="Normal" totalsRowCellStyle="Check Cell"/>
  </tableColumns>
  <tableStyleInfo name="TableStyleLight16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D82EF83B-DBB6-4781-B78F-E4AF20F105BE}" name="DEPRECIATION61" displayName="DEPRECIATION61" ref="C86:N94" totalsRowCount="1" headerRowDxfId="130" dataDxfId="129" totalsRowDxfId="128" headerRowBorderDxfId="126" tableBorderDxfId="127" headerRowCellStyle="Accent1" dataCellStyle="Normal" totalsRowCellStyle="Check Cell">
  <autoFilter ref="C86:N93" xr:uid="{07F1DF58-CBE1-4D69-A664-C715FDC27514}"/>
  <tableColumns count="12">
    <tableColumn id="1" xr3:uid="{4EC00058-F57A-470A-AD4E-6BBB7A83814E}" name="No." totalsRowLabel="Total" dataDxfId="124" totalsRowDxfId="125" dataCellStyle="Normal"/>
    <tableColumn id="2" xr3:uid="{DAC4DDC4-660A-42B0-A1F3-6B2A621F1BAA}" name="Description" dataDxfId="122" totalsRowDxfId="123" dataCellStyle="Normal"/>
    <tableColumn id="3" xr3:uid="{2A130BF0-50F0-4B1E-8674-F59A967F7BD8}" name="Year Acquired" dataDxfId="120" totalsRowDxfId="121" dataCellStyle="Normal"/>
    <tableColumn id="4" xr3:uid="{03C7BFA0-164D-4664-B556-6E43EFB73DFF}" name="Initial Cost If Purchased or Value of Granted Asset" dataDxfId="118" totalsRowDxfId="119" dataCellStyle="Normal"/>
    <tableColumn id="5" xr3:uid="{B722C4AC-1C8F-4645-813C-57864703ED73}" name="Salvage Value" dataDxfId="116" totalsRowDxfId="117" dataCellStyle="Normal"/>
    <tableColumn id="6" xr3:uid="{F5601C64-0A96-4E32-85C6-3902EEF91AF0}" name="Depreciable Cost" totalsRowFunction="sum" dataDxfId="114" totalsRowDxfId="115" dataCellStyle="Normal">
      <calculatedColumnFormula>DEPRECIATION61[[#This Row],[Initial Cost If Purchased or Value of Granted Asset]]-DEPRECIATION61[[#This Row],[Salvage Value]]</calculatedColumnFormula>
    </tableColumn>
    <tableColumn id="7" xr3:uid="{9494BF51-F0B8-40AD-AB2B-84C9C9484680}" name="Useful Life" dataDxfId="112" totalsRowDxfId="113" dataCellStyle="Normal"/>
    <tableColumn id="8" xr3:uid="{A7B36C4E-9AA5-4E70-80EB-315A7B1DB711}" name="Number of Assets" dataDxfId="110" totalsRowDxfId="111" dataCellStyle="Normal"/>
    <tableColumn id="9" xr3:uid="{B9571945-19EE-486A-B427-278C973C91B4}" name="Annual Depreciation" dataDxfId="108" totalsRowDxfId="109" dataCellStyle="Normal">
      <calculatedColumnFormula>IFERROR(DEPRECIATION61[[#This Row],[Depreciable Cost]]/DEPRECIATION61[[#This Row],[Useful Life]], 0)</calculatedColumnFormula>
    </tableColumn>
    <tableColumn id="13" xr3:uid="{49580616-8544-4E18-A2E6-D562D7376363}" name="Exceeded useful life" dataDxfId="106" totalsRowDxfId="107"/>
    <tableColumn id="10" xr3:uid="{0A10BF2E-C8D9-4AEB-B0B7-B11CE7E63F45}" name="Total Depreciation" totalsRowFunction="sum" dataDxfId="104" totalsRowDxfId="105" dataCellStyle="Normal">
      <calculatedColumnFormula>IF(DEPRECIATION61[[#This Row],[Exceeded useful life]]="YES",0,IFERROR(DEPRECIATION61[[#This Row],[Number of Assets]]*DEPRECIATION61[[#This Row],[Annual Depreciation]],0))</calculatedColumnFormula>
    </tableColumn>
    <tableColumn id="11" xr3:uid="{9B3AE08A-141B-4179-ADE3-EACD5FC00B8F}" name="Remarks" dataDxfId="102" totalsRowDxfId="103" dataCellStyle="Normal"/>
  </tableColumns>
  <tableStyleInfo name="TableStyleLight16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3928DF5-25FD-4768-8E5D-25D50D71B2C2}" name="PERSONNEL_REGULAR62" displayName="PERSONNEL_REGULAR62" ref="C8:P19" totalsRowCount="1" headerRowDxfId="101" dataDxfId="100" totalsRowDxfId="99" tableBorderDxfId="98" headerRowCellStyle="Accent1" dataCellStyle="Normal" totalsRowCellStyle="Check Cell">
  <autoFilter ref="C8:P18" xr:uid="{D8A17D39-1767-4998-A9CA-B811ECBCFD3A}"/>
  <tableColumns count="14">
    <tableColumn id="1" xr3:uid="{CEF1C3FD-B276-4E69-873F-4FFCB1035A08}" name="NO." totalsRowLabel="Total" dataDxfId="96" totalsRowDxfId="97" dataCellStyle="Normal"/>
    <tableColumn id="2" xr3:uid="{0B44C8CE-7F03-4E46-A2AD-679E862EA4C5}" name="Name" dataDxfId="94" totalsRowDxfId="95" dataCellStyle="Normal"/>
    <tableColumn id="3" xr3:uid="{D9605008-9978-49A7-B2D0-222777679ACA}" name="Official Designation" dataDxfId="92" totalsRowDxfId="93" dataCellStyle="Normal"/>
    <tableColumn id="4" xr3:uid="{EBA555C6-B5D1-4948-80DB-C408DA10EF6B}" name="Annual Salary" totalsRowFunction="sum" dataDxfId="90" totalsRowDxfId="91" dataCellStyle="Normal"/>
    <tableColumn id="5" xr3:uid="{262A57C3-810C-4A3B-A014-D342D57E356B}" name="Benefit/Contribution (1)" totalsRowFunction="sum" dataDxfId="88" totalsRowDxfId="89" dataCellStyle="Normal"/>
    <tableColumn id="6" xr3:uid="{96FA5197-83BA-4022-BA9A-71BF0D6AB362}" name="Benefit/Contribution (2)" totalsRowFunction="sum" dataDxfId="86" totalsRowDxfId="87" dataCellStyle="Normal"/>
    <tableColumn id="14" xr3:uid="{0F8BC101-31A2-4967-8075-E5258EB48A7F}" name="Benefit/Contribution (3)" totalsRowFunction="sum" dataDxfId="84" totalsRowDxfId="85" dataCellStyle="Normal"/>
    <tableColumn id="13" xr3:uid="{35B04245-212C-4326-A25E-CA8361FFDA95}" name="Benefit/Contribution (4)" totalsRowFunction="sum" dataDxfId="82" totalsRowDxfId="83" dataCellStyle="Normal"/>
    <tableColumn id="7" xr3:uid="{52E3D09F-D77E-491F-BA21-9115B453506B}" name="Benefit/Contribution (5)" totalsRowFunction="sum" dataDxfId="80" totalsRowDxfId="81" dataCellStyle="Normal"/>
    <tableColumn id="8" xr3:uid="{08299CBC-C02F-44A5-AAB0-765DD0245C3A}" name="Other Benefits" totalsRowFunction="sum" dataDxfId="78" totalsRowDxfId="79" dataCellStyle="Normal"/>
    <tableColumn id="9" xr3:uid="{FC29E4A0-AC28-4A3A-97AE-7F3EDB9F6A0D}" name="Estimated % Time Allocation" dataDxfId="76" totalsRowDxfId="77" dataCellStyle="Percent"/>
    <tableColumn id="10" xr3:uid="{ED4CB18A-B50E-44C5-8980-19FBC84C25BA}" name="Total Yearly Personnel Expense" totalsRowFunction="sum" dataDxfId="74" totalsRowDxfId="75" dataCellStyle="Normal">
      <calculatedColumnFormula>SUM(F9:L9)*M9</calculatedColumnFormula>
    </tableColumn>
    <tableColumn id="11" xr3:uid="{F2D90206-3FE4-433C-A277-14A913A4549C}" name="Specific Tasks" dataDxfId="72" totalsRowDxfId="73" dataCellStyle="Normal"/>
    <tableColumn id="12" xr3:uid="{8CD8E187-7A6D-44C5-8F0B-B052F4230A24}" name="Remarks" dataDxfId="70" totalsRowDxfId="71" dataCellStyle="Normal"/>
  </tableColumns>
  <tableStyleInfo name="TableStyleLight16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D61CC16-1124-480D-8FDE-F2A626EE3854}" name="PERSONNEL_CONTRACTUAL63" displayName="PERSONNEL_CONTRACTUAL63" ref="C24:P31" totalsRowCount="1" headerRowDxfId="69" dataDxfId="68" totalsRowDxfId="67" tableBorderDxfId="66" headerRowCellStyle="Accent1" dataCellStyle="Normal" totalsRowCellStyle="Check Cell">
  <autoFilter ref="C24:P30" xr:uid="{61592270-3747-4A2D-A8F0-479481BD52E2}"/>
  <tableColumns count="14">
    <tableColumn id="1" xr3:uid="{339B32EB-AAB8-4652-9697-657E1C5BC85F}" name="NO." totalsRowLabel="Total" dataDxfId="64" totalsRowDxfId="65" dataCellStyle="Normal"/>
    <tableColumn id="2" xr3:uid="{FBCD7EE8-0D3C-4946-8DB8-48CFC4093D9A}" name="Name" dataDxfId="62" totalsRowDxfId="63" dataCellStyle="Normal"/>
    <tableColumn id="3" xr3:uid="{1D5F77C3-318F-4928-ADA0-279D6EAF4E49}" name="Official Designation" dataDxfId="60" totalsRowDxfId="61" dataCellStyle="Normal"/>
    <tableColumn id="4" xr3:uid="{EAEC8666-7DD9-48FC-9FBC-EC35210A48E9}" name="Annual Salary" totalsRowFunction="sum" dataDxfId="58" totalsRowDxfId="59" dataCellStyle="Normal"/>
    <tableColumn id="5" xr3:uid="{0B0F4EB6-F120-44F9-BB62-C14ED02485F3}" name="Benefit/Contribution (1)" totalsRowFunction="sum" dataDxfId="56" totalsRowDxfId="57" dataCellStyle="Normal"/>
    <tableColumn id="6" xr3:uid="{68CFB14A-DF85-430A-BAEF-45F3E01A39AB}" name="Benefit/Contribution (2)" totalsRowFunction="sum" dataDxfId="54" totalsRowDxfId="55" dataCellStyle="Normal"/>
    <tableColumn id="14" xr3:uid="{FC825076-22D7-41CD-BDA4-1E9E27504AAA}" name="Benefit/Contribution (3)" totalsRowFunction="sum" dataDxfId="52" totalsRowDxfId="53" dataCellStyle="Normal"/>
    <tableColumn id="13" xr3:uid="{F70B1A16-873F-4E10-962C-9FE3860B11D8}" name="Benefit/Contribution (4)" totalsRowFunction="sum" dataDxfId="50" totalsRowDxfId="51" dataCellStyle="Normal"/>
    <tableColumn id="7" xr3:uid="{2DEE53EF-7A14-4FEB-BE3F-5D808B43081B}" name="Benefit/Contribution (5)" totalsRowFunction="sum" dataDxfId="48" totalsRowDxfId="49" dataCellStyle="Normal"/>
    <tableColumn id="8" xr3:uid="{5D7A7C7E-1799-433D-B0E6-5775DF14A1D5}" name="Other Benefits" totalsRowFunction="sum" dataDxfId="46" totalsRowDxfId="47" dataCellStyle="Normal"/>
    <tableColumn id="9" xr3:uid="{045C3F54-6DBC-4E29-96E0-83928578575F}" name="Estimated % Time Allocation" dataDxfId="44" totalsRowDxfId="45" dataCellStyle="Percent"/>
    <tableColumn id="10" xr3:uid="{58EED16F-D630-4730-8716-8856DC62F08E}" name="Total Yearly Personnel Expense" totalsRowFunction="sum" dataDxfId="42" totalsRowDxfId="43" dataCellStyle="Normal">
      <calculatedColumnFormula>SUM(F25:L25)*M25</calculatedColumnFormula>
    </tableColumn>
    <tableColumn id="11" xr3:uid="{8383C4C4-B256-4CAB-9C8C-BEA3D2BF28E4}" name="Specific Tasks" dataDxfId="40" totalsRowDxfId="41" dataCellStyle="Normal"/>
    <tableColumn id="12" xr3:uid="{C777CF41-EB97-4300-A24E-37AEAA1C3D50}" name="Remarks" dataDxfId="38" totalsRowDxfId="39" dataCellStyle="Normal"/>
  </tableColumns>
  <tableStyleInfo name="TableStyleLight16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CB9EDC59-2E4A-43D6-832F-FF28AA330B44}" name="tblSummaryCash64" displayName="tblSummaryCash64" ref="D103:E106" totalsRowCount="1" headerRowDxfId="37" dataDxfId="36" totalsRowDxfId="35">
  <autoFilter ref="D103:E105" xr:uid="{B063D752-8E6D-48F9-B731-803B46E1AD00}"/>
  <tableColumns count="2">
    <tableColumn id="1" xr3:uid="{72841C3C-13E1-42B1-80F3-780BC11AB8D5}" name="(HIDDEN)" totalsRowLabel="Total (HIDDEN)" dataDxfId="33" totalsRowDxfId="34"/>
    <tableColumn id="2" xr3:uid="{0F47799C-E3B1-4964-9CEE-914BB4E50968}" name="(HIDDEN)2" totalsRowFunction="custom" dataDxfId="31" totalsRowDxfId="32">
      <calculatedColumnFormula>SUM(
SUBTOTAL(109,OPEX_COSTS59[Total Annual Cost]),
SUBTOTAL(109,OTHER_COST60[Total Annual Cost])
)</calculatedColumnFormula>
      <totalsRowFormula>PERSONNEL_REGULAR62[[#Totals],[Total Yearly Personnel Expense]]+PERSONNEL_CONTRACTUAL63[[#Totals],[Total Yearly Personnel Expense]]+SUBTOTAL(109,OPEX_COSTS59[Total Annual Cost])+
SUBTOTAL(109,OTHER_COST60[Total Annual Cost])</totalsRowFormula>
    </tableColumn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BC0E94B-1319-4475-97A9-2014658A0240}" name="tblSummaryNonCash65" displayName="tblSummaryNonCash65" ref="D107:E109" totalsRowCount="1" headerRowDxfId="30" dataDxfId="29" totalsRowDxfId="28" headerRowBorderDxfId="26" tableBorderDxfId="27">
  <autoFilter ref="D107:E108" xr:uid="{E214E1DD-911D-44DB-AA4F-844237992A6A}"/>
  <tableColumns count="2">
    <tableColumn id="1" xr3:uid="{253467CE-A67B-4972-9870-56BB899F541C}" name="(HIDDEN)" totalsRowLabel="Total (HIDDEN)" dataDxfId="24" totalsRowDxfId="25"/>
    <tableColumn id="2" xr3:uid="{E4BF4679-3DD4-46C6-9685-C741BEDAC08E}" name="(HIDDEN)2" totalsRowFunction="sum" dataDxfId="22" totalsRowDxfId="23">
      <calculatedColumnFormula>DEPRECIATION61[[#Totals],[Total Depreciation]]</calculatedColumnFormula>
    </tableColumn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D6A62ED-723B-41E5-AF25-6F2F49E5C11C}" name="tblChartHelper" displayName="tblChartHelper" ref="A1:B16" totalsRowShown="0">
  <autoFilter ref="A1:B16" xr:uid="{CD6A62ED-723B-41E5-AF25-6F2F49E5C11C}"/>
  <tableColumns count="2">
    <tableColumn id="1" xr3:uid="{477A2F0B-950C-4129-982A-5F39AFDD9E6A}" name="Label" dataDxfId="759">
      <calculatedColumnFormula>IFERROR(INDEX(tblDashInternalFR[[#All],[INTERNAL SOURCE]],ROW(A2)),"")</calculatedColumnFormula>
    </tableColumn>
    <tableColumn id="2" xr3:uid="{8026D935-C2DB-4B25-B3B4-35BB3EF45451}" name="Percentage" dataDxfId="758">
      <calculatedColumnFormula>IFERROR(INDEX(tblDashInternalFR[[#All],[PERCENTAGE]],ROW(A2)),"")</calculatedColumnFormula>
    </tableColumn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926819-F902-4DB2-8939-15ACBBD4C900}" name="pietbl" displayName="pietbl" ref="A30:C35" totalsRowShown="0" headerRowDxfId="757" headerRowBorderDxfId="756" tableBorderDxfId="755" dataCellStyle="Normal">
  <autoFilter ref="A30:C35" xr:uid="{9E926819-F902-4DB2-8939-15ACBBD4C900}"/>
  <tableColumns count="3">
    <tableColumn id="1" xr3:uid="{F186135B-B60B-4469-9034-A87BC554B22C}" name="Item" dataDxfId="2" dataCellStyle="Normal"/>
    <tableColumn id="2" xr3:uid="{8184A691-6C3D-4E16-9959-A4EF530DB37A}" name="Amount" dataDxfId="1" dataCellStyle="Normal"/>
    <tableColumn id="3" xr3:uid="{DD083E3E-2193-4100-8F5F-4D36AE8ED107}" name="Percentage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ctrlProp" Target="../ctrlProps/ctrlProp5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10" Type="http://schemas.openxmlformats.org/officeDocument/2006/relationships/table" Target="../tables/table20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13" Type="http://schemas.openxmlformats.org/officeDocument/2006/relationships/table" Target="../tables/table29.xml"/><Relationship Id="rId18" Type="http://schemas.openxmlformats.org/officeDocument/2006/relationships/table" Target="../tables/table34.xml"/><Relationship Id="rId3" Type="http://schemas.openxmlformats.org/officeDocument/2006/relationships/ctrlProp" Target="../ctrlProps/ctrlProp7.xml"/><Relationship Id="rId21" Type="http://schemas.openxmlformats.org/officeDocument/2006/relationships/table" Target="../tables/table37.xml"/><Relationship Id="rId7" Type="http://schemas.openxmlformats.org/officeDocument/2006/relationships/table" Target="../tables/table23.xml"/><Relationship Id="rId12" Type="http://schemas.openxmlformats.org/officeDocument/2006/relationships/table" Target="../tables/table28.xml"/><Relationship Id="rId17" Type="http://schemas.openxmlformats.org/officeDocument/2006/relationships/table" Target="../tables/table33.xml"/><Relationship Id="rId2" Type="http://schemas.openxmlformats.org/officeDocument/2006/relationships/vmlDrawing" Target="../drawings/vmlDrawing4.vml"/><Relationship Id="rId16" Type="http://schemas.openxmlformats.org/officeDocument/2006/relationships/table" Target="../tables/table32.xml"/><Relationship Id="rId20" Type="http://schemas.openxmlformats.org/officeDocument/2006/relationships/table" Target="../tables/table36.xml"/><Relationship Id="rId1" Type="http://schemas.openxmlformats.org/officeDocument/2006/relationships/drawing" Target="../drawings/drawing4.xml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5" Type="http://schemas.openxmlformats.org/officeDocument/2006/relationships/table" Target="../tables/table31.xml"/><Relationship Id="rId10" Type="http://schemas.openxmlformats.org/officeDocument/2006/relationships/table" Target="../tables/table26.xml"/><Relationship Id="rId19" Type="http://schemas.openxmlformats.org/officeDocument/2006/relationships/table" Target="../tables/table35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25.xml"/><Relationship Id="rId14" Type="http://schemas.openxmlformats.org/officeDocument/2006/relationships/table" Target="../tables/table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1.xml"/><Relationship Id="rId3" Type="http://schemas.openxmlformats.org/officeDocument/2006/relationships/ctrlProp" Target="../ctrlProps/ctrlProp9.xml"/><Relationship Id="rId7" Type="http://schemas.openxmlformats.org/officeDocument/2006/relationships/table" Target="../tables/table4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39.xml"/><Relationship Id="rId11" Type="http://schemas.openxmlformats.org/officeDocument/2006/relationships/table" Target="../tables/table44.xml"/><Relationship Id="rId5" Type="http://schemas.openxmlformats.org/officeDocument/2006/relationships/table" Target="../tables/table38.xml"/><Relationship Id="rId10" Type="http://schemas.openxmlformats.org/officeDocument/2006/relationships/table" Target="../tables/table43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4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4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4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5.xml"/><Relationship Id="rId3" Type="http://schemas.openxmlformats.org/officeDocument/2006/relationships/ctrlProp" Target="../ctrlProps/ctrlProp13.xml"/><Relationship Id="rId7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53.xml"/><Relationship Id="rId11" Type="http://schemas.openxmlformats.org/officeDocument/2006/relationships/table" Target="../tables/table58.xml"/><Relationship Id="rId5" Type="http://schemas.openxmlformats.org/officeDocument/2006/relationships/table" Target="../tables/table52.xml"/><Relationship Id="rId10" Type="http://schemas.openxmlformats.org/officeDocument/2006/relationships/table" Target="../tables/table57.xml"/><Relationship Id="rId4" Type="http://schemas.openxmlformats.org/officeDocument/2006/relationships/ctrlProp" Target="../ctrlProps/ctrlProp14.xml"/><Relationship Id="rId9" Type="http://schemas.openxmlformats.org/officeDocument/2006/relationships/table" Target="../tables/table5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2.xml"/><Relationship Id="rId3" Type="http://schemas.openxmlformats.org/officeDocument/2006/relationships/ctrlProp" Target="../ctrlProps/ctrlProp15.xml"/><Relationship Id="rId7" Type="http://schemas.openxmlformats.org/officeDocument/2006/relationships/table" Target="../tables/table6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60.xml"/><Relationship Id="rId11" Type="http://schemas.openxmlformats.org/officeDocument/2006/relationships/table" Target="../tables/table65.xml"/><Relationship Id="rId5" Type="http://schemas.openxmlformats.org/officeDocument/2006/relationships/table" Target="../tables/table59.xml"/><Relationship Id="rId10" Type="http://schemas.openxmlformats.org/officeDocument/2006/relationships/table" Target="../tables/table64.xml"/><Relationship Id="rId4" Type="http://schemas.openxmlformats.org/officeDocument/2006/relationships/ctrlProp" Target="../ctrlProps/ctrlProp16.xml"/><Relationship Id="rId9" Type="http://schemas.openxmlformats.org/officeDocument/2006/relationships/table" Target="../tables/table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9.xml"/><Relationship Id="rId3" Type="http://schemas.openxmlformats.org/officeDocument/2006/relationships/ctrlProp" Target="../ctrlProps/ctrlProp17.xml"/><Relationship Id="rId7" Type="http://schemas.openxmlformats.org/officeDocument/2006/relationships/table" Target="../tables/table6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table" Target="../tables/table67.xml"/><Relationship Id="rId11" Type="http://schemas.openxmlformats.org/officeDocument/2006/relationships/table" Target="../tables/table72.xml"/><Relationship Id="rId5" Type="http://schemas.openxmlformats.org/officeDocument/2006/relationships/table" Target="../tables/table66.xml"/><Relationship Id="rId10" Type="http://schemas.openxmlformats.org/officeDocument/2006/relationships/table" Target="../tables/table71.xml"/><Relationship Id="rId4" Type="http://schemas.openxmlformats.org/officeDocument/2006/relationships/ctrlProp" Target="../ctrlProps/ctrlProp18.xml"/><Relationship Id="rId9" Type="http://schemas.openxmlformats.org/officeDocument/2006/relationships/table" Target="../tables/table7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4.xml"/><Relationship Id="rId1" Type="http://schemas.openxmlformats.org/officeDocument/2006/relationships/table" Target="../tables/table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7B2E5-1A3E-42BA-AE86-E0623A00AD98}">
  <sheetPr codeName="Sheet5"/>
  <dimension ref="A1:E36"/>
  <sheetViews>
    <sheetView workbookViewId="0">
      <selection activeCell="D3" sqref="D3"/>
    </sheetView>
  </sheetViews>
  <sheetFormatPr defaultColWidth="18.7109375" defaultRowHeight="23.25" customHeight="1" x14ac:dyDescent="0.25"/>
  <cols>
    <col min="1" max="1" width="25.5703125" customWidth="1"/>
    <col min="2" max="2" width="22.5703125" customWidth="1"/>
    <col min="4" max="4" width="30.7109375" customWidth="1"/>
    <col min="5" max="5" width="19.140625" customWidth="1"/>
  </cols>
  <sheetData>
    <row r="1" spans="1:5" s="4" customFormat="1" ht="23.25" customHeight="1" x14ac:dyDescent="0.25">
      <c r="A1" s="88" t="s">
        <v>33</v>
      </c>
      <c r="B1" s="88" t="s">
        <v>29</v>
      </c>
      <c r="C1" s="88" t="s">
        <v>30</v>
      </c>
      <c r="D1" s="88" t="s">
        <v>34</v>
      </c>
      <c r="E1" s="88" t="s">
        <v>35</v>
      </c>
    </row>
    <row r="2" spans="1:5" ht="23.25" customHeight="1" x14ac:dyDescent="0.25">
      <c r="A2" s="287" t="s">
        <v>372</v>
      </c>
      <c r="B2" s="287">
        <v>20260601131835</v>
      </c>
      <c r="C2" s="287" t="s">
        <v>371</v>
      </c>
      <c r="D2" s="287" t="s">
        <v>316</v>
      </c>
      <c r="E2" s="287" t="s">
        <v>316</v>
      </c>
    </row>
    <row r="3" spans="1:5" ht="23.25" customHeight="1" x14ac:dyDescent="0.25">
      <c r="A3" s="287" t="s">
        <v>373</v>
      </c>
      <c r="B3" s="287">
        <v>20260601131835</v>
      </c>
      <c r="C3" s="287" t="s">
        <v>371</v>
      </c>
      <c r="D3" s="287" t="s">
        <v>374</v>
      </c>
      <c r="E3" s="287" t="s">
        <v>374</v>
      </c>
    </row>
    <row r="4" spans="1:5" ht="23.25" customHeight="1" x14ac:dyDescent="0.25">
      <c r="A4" s="287" t="s">
        <v>375</v>
      </c>
      <c r="B4" s="287">
        <v>20260601131835</v>
      </c>
      <c r="C4" s="287" t="s">
        <v>371</v>
      </c>
      <c r="D4" s="287" t="s">
        <v>376</v>
      </c>
      <c r="E4" s="287" t="s">
        <v>376</v>
      </c>
    </row>
    <row r="5" spans="1:5" ht="23.25" customHeight="1" x14ac:dyDescent="0.25">
      <c r="A5" s="287" t="s">
        <v>377</v>
      </c>
      <c r="B5" s="287">
        <v>20260601131835</v>
      </c>
      <c r="C5" s="287" t="s">
        <v>371</v>
      </c>
      <c r="D5" s="287" t="s">
        <v>323</v>
      </c>
      <c r="E5" s="287" t="s">
        <v>323</v>
      </c>
    </row>
    <row r="6" spans="1:5" ht="23.25" customHeight="1" x14ac:dyDescent="0.25">
      <c r="A6" s="287" t="s">
        <v>378</v>
      </c>
      <c r="B6" s="287">
        <v>20260601131835</v>
      </c>
      <c r="C6" s="287" t="s">
        <v>371</v>
      </c>
      <c r="D6" s="287" t="s">
        <v>379</v>
      </c>
      <c r="E6" s="287" t="s">
        <v>379</v>
      </c>
    </row>
    <row r="7" spans="1:5" ht="23.25" customHeight="1" x14ac:dyDescent="0.25">
      <c r="A7" s="287" t="s">
        <v>380</v>
      </c>
      <c r="B7" s="287">
        <v>20260601131835</v>
      </c>
      <c r="C7" s="287" t="s">
        <v>371</v>
      </c>
      <c r="D7" s="287" t="s">
        <v>381</v>
      </c>
      <c r="E7" s="287" t="s">
        <v>381</v>
      </c>
    </row>
    <row r="8" spans="1:5" ht="23.25" customHeight="1" x14ac:dyDescent="0.25">
      <c r="A8" s="287" t="s">
        <v>382</v>
      </c>
      <c r="B8" s="287">
        <v>20260601131835</v>
      </c>
      <c r="C8" s="287" t="s">
        <v>371</v>
      </c>
      <c r="D8" s="287" t="s">
        <v>383</v>
      </c>
      <c r="E8" s="287" t="s">
        <v>383</v>
      </c>
    </row>
    <row r="9" spans="1:5" ht="23.25" customHeight="1" x14ac:dyDescent="0.25">
      <c r="A9" s="287" t="s">
        <v>386</v>
      </c>
      <c r="B9" s="287">
        <v>20260601132429</v>
      </c>
      <c r="C9" s="287" t="s">
        <v>385</v>
      </c>
      <c r="D9" s="287" t="s">
        <v>325</v>
      </c>
      <c r="E9" s="287" t="s">
        <v>325</v>
      </c>
    </row>
    <row r="10" spans="1:5" ht="23.25" customHeight="1" x14ac:dyDescent="0.25">
      <c r="A10" s="287" t="s">
        <v>387</v>
      </c>
      <c r="B10" s="287">
        <v>20260601132429</v>
      </c>
      <c r="C10" s="287" t="s">
        <v>385</v>
      </c>
      <c r="D10" s="287" t="s">
        <v>388</v>
      </c>
      <c r="E10" s="287" t="s">
        <v>388</v>
      </c>
    </row>
    <row r="11" spans="1:5" ht="23.25" customHeight="1" x14ac:dyDescent="0.25">
      <c r="A11" s="287" t="s">
        <v>389</v>
      </c>
      <c r="B11" s="287">
        <v>20260601132429</v>
      </c>
      <c r="C11" s="287" t="s">
        <v>385</v>
      </c>
      <c r="D11" s="287" t="s">
        <v>390</v>
      </c>
      <c r="E11" s="287" t="s">
        <v>390</v>
      </c>
    </row>
    <row r="12" spans="1:5" ht="23.25" customHeight="1" x14ac:dyDescent="0.25">
      <c r="A12" s="287" t="s">
        <v>391</v>
      </c>
      <c r="B12" s="287">
        <v>20260601132429</v>
      </c>
      <c r="C12" s="287" t="s">
        <v>385</v>
      </c>
      <c r="D12" s="287" t="s">
        <v>392</v>
      </c>
      <c r="E12" s="287" t="s">
        <v>392</v>
      </c>
    </row>
    <row r="13" spans="1:5" ht="23.25" customHeight="1" x14ac:dyDescent="0.25">
      <c r="A13" s="287" t="s">
        <v>393</v>
      </c>
      <c r="B13" s="287">
        <v>20260601132429</v>
      </c>
      <c r="C13" s="287" t="s">
        <v>385</v>
      </c>
      <c r="D13" s="287" t="s">
        <v>394</v>
      </c>
      <c r="E13" s="287" t="s">
        <v>394</v>
      </c>
    </row>
    <row r="14" spans="1:5" ht="23.25" customHeight="1" x14ac:dyDescent="0.25">
      <c r="A14" s="287" t="s">
        <v>395</v>
      </c>
      <c r="B14" s="287">
        <v>20260601132429</v>
      </c>
      <c r="C14" s="287" t="s">
        <v>385</v>
      </c>
      <c r="D14" s="287" t="s">
        <v>396</v>
      </c>
      <c r="E14" s="287" t="s">
        <v>396</v>
      </c>
    </row>
    <row r="15" spans="1:5" ht="23.25" customHeight="1" x14ac:dyDescent="0.25">
      <c r="A15" s="287" t="s">
        <v>397</v>
      </c>
      <c r="B15" s="287">
        <v>20260601132429</v>
      </c>
      <c r="C15" s="287" t="s">
        <v>385</v>
      </c>
      <c r="D15" s="287" t="s">
        <v>398</v>
      </c>
      <c r="E15" s="287" t="s">
        <v>398</v>
      </c>
    </row>
    <row r="16" spans="1:5" ht="23.25" customHeight="1" x14ac:dyDescent="0.25">
      <c r="A16" s="287" t="s">
        <v>400</v>
      </c>
      <c r="B16" s="287">
        <v>20260601132613</v>
      </c>
      <c r="C16" s="287" t="s">
        <v>399</v>
      </c>
      <c r="D16" s="287" t="s">
        <v>327</v>
      </c>
      <c r="E16" s="287" t="s">
        <v>327</v>
      </c>
    </row>
    <row r="17" spans="1:5" ht="23.25" customHeight="1" x14ac:dyDescent="0.25">
      <c r="A17" s="287" t="s">
        <v>401</v>
      </c>
      <c r="B17" s="287">
        <v>20260601132613</v>
      </c>
      <c r="C17" s="287" t="s">
        <v>399</v>
      </c>
      <c r="D17" s="287" t="s">
        <v>402</v>
      </c>
      <c r="E17" s="287" t="s">
        <v>402</v>
      </c>
    </row>
    <row r="18" spans="1:5" ht="23.25" customHeight="1" x14ac:dyDescent="0.25">
      <c r="A18" s="287" t="s">
        <v>403</v>
      </c>
      <c r="B18" s="287">
        <v>20260601132613</v>
      </c>
      <c r="C18" s="287" t="s">
        <v>399</v>
      </c>
      <c r="D18" s="287" t="s">
        <v>404</v>
      </c>
      <c r="E18" s="287" t="s">
        <v>404</v>
      </c>
    </row>
    <row r="19" spans="1:5" ht="23.25" customHeight="1" x14ac:dyDescent="0.25">
      <c r="A19" s="287" t="s">
        <v>405</v>
      </c>
      <c r="B19" s="287">
        <v>20260601132613</v>
      </c>
      <c r="C19" s="287" t="s">
        <v>399</v>
      </c>
      <c r="D19" s="287" t="s">
        <v>406</v>
      </c>
      <c r="E19" s="287" t="s">
        <v>406</v>
      </c>
    </row>
    <row r="20" spans="1:5" ht="23.25" customHeight="1" x14ac:dyDescent="0.25">
      <c r="A20" s="287" t="s">
        <v>407</v>
      </c>
      <c r="B20" s="287">
        <v>20260601132613</v>
      </c>
      <c r="C20" s="287" t="s">
        <v>399</v>
      </c>
      <c r="D20" s="287" t="s">
        <v>408</v>
      </c>
      <c r="E20" s="287" t="s">
        <v>408</v>
      </c>
    </row>
    <row r="21" spans="1:5" ht="23.25" customHeight="1" x14ac:dyDescent="0.25">
      <c r="A21" s="287" t="s">
        <v>409</v>
      </c>
      <c r="B21" s="287">
        <v>20260601132613</v>
      </c>
      <c r="C21" s="287" t="s">
        <v>399</v>
      </c>
      <c r="D21" s="287" t="s">
        <v>410</v>
      </c>
      <c r="E21" s="287" t="s">
        <v>410</v>
      </c>
    </row>
    <row r="22" spans="1:5" ht="23.25" customHeight="1" x14ac:dyDescent="0.25">
      <c r="A22" s="287" t="s">
        <v>411</v>
      </c>
      <c r="B22" s="287">
        <v>20260601132613</v>
      </c>
      <c r="C22" s="287" t="s">
        <v>399</v>
      </c>
      <c r="D22" s="287" t="s">
        <v>412</v>
      </c>
      <c r="E22" s="287" t="s">
        <v>412</v>
      </c>
    </row>
    <row r="23" spans="1:5" ht="23.25" customHeight="1" x14ac:dyDescent="0.25">
      <c r="A23" s="287" t="s">
        <v>414</v>
      </c>
      <c r="B23" s="287">
        <v>20260601132755</v>
      </c>
      <c r="C23" s="287" t="s">
        <v>413</v>
      </c>
      <c r="D23" s="287" t="s">
        <v>415</v>
      </c>
      <c r="E23" s="287" t="s">
        <v>415</v>
      </c>
    </row>
    <row r="24" spans="1:5" ht="23.25" customHeight="1" x14ac:dyDescent="0.25">
      <c r="A24" s="287" t="s">
        <v>416</v>
      </c>
      <c r="B24" s="287">
        <v>20260601132755</v>
      </c>
      <c r="C24" s="287" t="s">
        <v>413</v>
      </c>
      <c r="D24" s="287" t="s">
        <v>417</v>
      </c>
      <c r="E24" s="287" t="s">
        <v>417</v>
      </c>
    </row>
    <row r="25" spans="1:5" ht="23.25" customHeight="1" x14ac:dyDescent="0.25">
      <c r="A25" s="287" t="s">
        <v>418</v>
      </c>
      <c r="B25" s="287">
        <v>20260601132755</v>
      </c>
      <c r="C25" s="287" t="s">
        <v>413</v>
      </c>
      <c r="D25" s="287" t="s">
        <v>419</v>
      </c>
      <c r="E25" s="287" t="s">
        <v>419</v>
      </c>
    </row>
    <row r="26" spans="1:5" ht="23.25" customHeight="1" x14ac:dyDescent="0.25">
      <c r="A26" s="287" t="s">
        <v>420</v>
      </c>
      <c r="B26" s="287">
        <v>20260601132755</v>
      </c>
      <c r="C26" s="287" t="s">
        <v>413</v>
      </c>
      <c r="D26" s="287" t="s">
        <v>421</v>
      </c>
      <c r="E26" s="287" t="s">
        <v>421</v>
      </c>
    </row>
    <row r="27" spans="1:5" ht="23.25" customHeight="1" x14ac:dyDescent="0.25">
      <c r="A27" s="287" t="s">
        <v>422</v>
      </c>
      <c r="B27" s="287">
        <v>20260601132755</v>
      </c>
      <c r="C27" s="287" t="s">
        <v>413</v>
      </c>
      <c r="D27" s="287" t="s">
        <v>423</v>
      </c>
      <c r="E27" s="287" t="s">
        <v>423</v>
      </c>
    </row>
    <row r="28" spans="1:5" ht="23.25" customHeight="1" x14ac:dyDescent="0.25">
      <c r="A28" s="287" t="s">
        <v>424</v>
      </c>
      <c r="B28" s="287">
        <v>20260601132755</v>
      </c>
      <c r="C28" s="287" t="s">
        <v>413</v>
      </c>
      <c r="D28" s="287" t="s">
        <v>425</v>
      </c>
      <c r="E28" s="287" t="s">
        <v>425</v>
      </c>
    </row>
    <row r="29" spans="1:5" ht="23.25" customHeight="1" x14ac:dyDescent="0.25">
      <c r="A29" s="287" t="s">
        <v>426</v>
      </c>
      <c r="B29" s="287">
        <v>20260601132755</v>
      </c>
      <c r="C29" s="287" t="s">
        <v>413</v>
      </c>
      <c r="D29" s="287" t="s">
        <v>427</v>
      </c>
      <c r="E29" s="287" t="s">
        <v>427</v>
      </c>
    </row>
    <row r="30" spans="1:5" ht="23.25" customHeight="1" x14ac:dyDescent="0.25">
      <c r="A30" s="287" t="s">
        <v>436</v>
      </c>
      <c r="B30" s="287">
        <v>20260601133837</v>
      </c>
      <c r="C30" s="287" t="s">
        <v>435</v>
      </c>
      <c r="D30" s="287" t="s">
        <v>437</v>
      </c>
      <c r="E30" s="287" t="s">
        <v>437</v>
      </c>
    </row>
    <row r="31" spans="1:5" ht="23.25" customHeight="1" x14ac:dyDescent="0.25">
      <c r="A31" s="287" t="s">
        <v>438</v>
      </c>
      <c r="B31" s="287">
        <v>20260601133837</v>
      </c>
      <c r="C31" s="287" t="s">
        <v>435</v>
      </c>
      <c r="D31" s="287" t="s">
        <v>439</v>
      </c>
      <c r="E31" s="287" t="s">
        <v>439</v>
      </c>
    </row>
    <row r="32" spans="1:5" ht="23.25" customHeight="1" x14ac:dyDescent="0.25">
      <c r="A32" s="287" t="s">
        <v>440</v>
      </c>
      <c r="B32" s="287">
        <v>20260601133837</v>
      </c>
      <c r="C32" s="287" t="s">
        <v>435</v>
      </c>
      <c r="D32" s="287" t="s">
        <v>441</v>
      </c>
      <c r="E32" s="287" t="s">
        <v>441</v>
      </c>
    </row>
    <row r="33" spans="1:5" ht="23.25" customHeight="1" x14ac:dyDescent="0.25">
      <c r="A33" s="287" t="s">
        <v>442</v>
      </c>
      <c r="B33" s="287">
        <v>20260601133837</v>
      </c>
      <c r="C33" s="287" t="s">
        <v>435</v>
      </c>
      <c r="D33" s="287" t="s">
        <v>443</v>
      </c>
      <c r="E33" s="287" t="s">
        <v>443</v>
      </c>
    </row>
    <row r="34" spans="1:5" ht="23.25" customHeight="1" x14ac:dyDescent="0.25">
      <c r="A34" s="287" t="s">
        <v>444</v>
      </c>
      <c r="B34" s="287">
        <v>20260601133837</v>
      </c>
      <c r="C34" s="287" t="s">
        <v>435</v>
      </c>
      <c r="D34" s="287" t="s">
        <v>445</v>
      </c>
      <c r="E34" s="287" t="s">
        <v>445</v>
      </c>
    </row>
    <row r="35" spans="1:5" ht="23.25" customHeight="1" x14ac:dyDescent="0.25">
      <c r="A35" s="287" t="s">
        <v>446</v>
      </c>
      <c r="B35" s="287">
        <v>20260601133837</v>
      </c>
      <c r="C35" s="287" t="s">
        <v>435</v>
      </c>
      <c r="D35" s="287" t="s">
        <v>447</v>
      </c>
      <c r="E35" s="287" t="s">
        <v>447</v>
      </c>
    </row>
    <row r="36" spans="1:5" ht="23.25" customHeight="1" x14ac:dyDescent="0.25">
      <c r="A36" s="287" t="s">
        <v>448</v>
      </c>
      <c r="B36" s="287">
        <v>20260601133837</v>
      </c>
      <c r="C36" s="287" t="s">
        <v>435</v>
      </c>
      <c r="D36" s="287" t="s">
        <v>449</v>
      </c>
      <c r="E36" s="287" t="s">
        <v>449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7C08-A2A6-41C3-BFBC-9F82C8698061}">
  <sheetPr codeName="Sheet3"/>
  <dimension ref="A1:D6"/>
  <sheetViews>
    <sheetView workbookViewId="0">
      <selection activeCell="D3" sqref="D3"/>
    </sheetView>
  </sheetViews>
  <sheetFormatPr defaultColWidth="21.7109375" defaultRowHeight="21" customHeight="1" x14ac:dyDescent="0.25"/>
  <cols>
    <col min="1" max="1" width="21.7109375" customWidth="1"/>
    <col min="2" max="2" width="30.7109375" customWidth="1"/>
    <col min="3" max="3" width="17.140625" customWidth="1"/>
  </cols>
  <sheetData>
    <row r="1" spans="1:4" s="5" customFormat="1" ht="21" customHeight="1" x14ac:dyDescent="0.25">
      <c r="A1" s="3" t="s">
        <v>29</v>
      </c>
      <c r="B1" s="3" t="s">
        <v>30</v>
      </c>
      <c r="C1" s="3" t="s">
        <v>31</v>
      </c>
      <c r="D1" s="3" t="s">
        <v>32</v>
      </c>
    </row>
    <row r="2" spans="1:4" ht="21" customHeight="1" x14ac:dyDescent="0.25">
      <c r="A2" s="287">
        <v>20260601131835</v>
      </c>
      <c r="B2" s="287" t="s">
        <v>371</v>
      </c>
      <c r="C2" s="287" t="s">
        <v>87</v>
      </c>
      <c r="D2" s="290">
        <v>46174.554571759261</v>
      </c>
    </row>
    <row r="3" spans="1:4" ht="21" customHeight="1" x14ac:dyDescent="0.25">
      <c r="A3" s="287">
        <v>20260601132429</v>
      </c>
      <c r="B3" s="287" t="s">
        <v>385</v>
      </c>
      <c r="C3" s="287" t="s">
        <v>88</v>
      </c>
      <c r="D3" s="290">
        <v>46174.558668981481</v>
      </c>
    </row>
    <row r="4" spans="1:4" ht="21" customHeight="1" x14ac:dyDescent="0.25">
      <c r="A4" s="287">
        <v>20260601132613</v>
      </c>
      <c r="B4" s="287" t="s">
        <v>399</v>
      </c>
      <c r="C4" s="287" t="s">
        <v>89</v>
      </c>
      <c r="D4" s="290">
        <v>46174.559872685182</v>
      </c>
    </row>
    <row r="5" spans="1:4" ht="21" customHeight="1" x14ac:dyDescent="0.25">
      <c r="A5" s="287">
        <v>20260601132755</v>
      </c>
      <c r="B5" s="287" t="s">
        <v>413</v>
      </c>
      <c r="C5" s="287" t="s">
        <v>83</v>
      </c>
      <c r="D5" s="290">
        <v>46174.561053240737</v>
      </c>
    </row>
    <row r="6" spans="1:4" ht="21" customHeight="1" x14ac:dyDescent="0.25">
      <c r="A6" s="287">
        <v>20260601133837</v>
      </c>
      <c r="B6" s="287" t="s">
        <v>435</v>
      </c>
      <c r="C6" s="287" t="s">
        <v>433</v>
      </c>
      <c r="D6" s="290">
        <v>46174.568483796298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5F4FA-FF69-48B7-8E01-D8626FCE23B6}">
  <sheetPr codeName="Sheet6"/>
  <dimension ref="A1:G419"/>
  <sheetViews>
    <sheetView topLeftCell="A43" workbookViewId="0">
      <selection activeCell="B39" sqref="B39"/>
    </sheetView>
  </sheetViews>
  <sheetFormatPr defaultColWidth="18.85546875" defaultRowHeight="15.75" customHeight="1" x14ac:dyDescent="0.25"/>
  <cols>
    <col min="1" max="16384" width="18.85546875" style="6"/>
  </cols>
  <sheetData>
    <row r="1" spans="1:7" s="9" customFormat="1" ht="15.75" customHeight="1" x14ac:dyDescent="0.25">
      <c r="A1" s="8" t="s">
        <v>36</v>
      </c>
      <c r="B1" s="8" t="s">
        <v>30</v>
      </c>
      <c r="C1" s="8" t="s">
        <v>33</v>
      </c>
      <c r="D1" s="8" t="s">
        <v>94</v>
      </c>
      <c r="E1" s="8" t="s">
        <v>37</v>
      </c>
      <c r="F1" s="8" t="s">
        <v>38</v>
      </c>
      <c r="G1" s="8" t="s">
        <v>39</v>
      </c>
    </row>
    <row r="2" spans="1:7" ht="15.75" customHeight="1" x14ac:dyDescent="0.25">
      <c r="A2" s="6" t="s">
        <v>100</v>
      </c>
      <c r="B2" s="6" t="s">
        <v>51</v>
      </c>
      <c r="C2" s="6" t="s">
        <v>148</v>
      </c>
      <c r="D2" s="6" t="s">
        <v>85</v>
      </c>
      <c r="E2" s="6" t="s">
        <v>53</v>
      </c>
      <c r="F2" s="7">
        <v>46156.463692129626</v>
      </c>
    </row>
    <row r="3" spans="1:7" ht="15.75" customHeight="1" x14ac:dyDescent="0.25">
      <c r="A3" s="6" t="s">
        <v>136</v>
      </c>
      <c r="B3" s="6" t="s">
        <v>51</v>
      </c>
      <c r="C3" s="6" t="s">
        <v>148</v>
      </c>
      <c r="D3" s="6" t="s">
        <v>85</v>
      </c>
      <c r="E3" s="6" t="s">
        <v>52</v>
      </c>
      <c r="F3" s="7">
        <v>46156.463692129626</v>
      </c>
    </row>
    <row r="4" spans="1:7" ht="15.75" customHeight="1" x14ac:dyDescent="0.25">
      <c r="A4" s="6" t="s">
        <v>137</v>
      </c>
      <c r="B4" s="6" t="s">
        <v>51</v>
      </c>
      <c r="C4" s="6" t="s">
        <v>148</v>
      </c>
      <c r="D4" s="6" t="s">
        <v>85</v>
      </c>
      <c r="E4" s="6" t="s">
        <v>57</v>
      </c>
      <c r="F4" s="7">
        <v>46156.463692129626</v>
      </c>
    </row>
    <row r="5" spans="1:7" ht="15.75" customHeight="1" x14ac:dyDescent="0.25">
      <c r="A5" s="6" t="s">
        <v>140</v>
      </c>
      <c r="B5" s="6" t="s">
        <v>51</v>
      </c>
      <c r="C5" s="6" t="s">
        <v>148</v>
      </c>
      <c r="D5" s="6" t="s">
        <v>85</v>
      </c>
      <c r="E5" s="6" t="s">
        <v>59</v>
      </c>
      <c r="F5" s="7">
        <v>46156.463692129626</v>
      </c>
    </row>
    <row r="6" spans="1:7" ht="15.75" customHeight="1" x14ac:dyDescent="0.25">
      <c r="A6" s="6" t="s">
        <v>150</v>
      </c>
      <c r="B6" s="6" t="s">
        <v>51</v>
      </c>
      <c r="C6" s="6" t="s">
        <v>148</v>
      </c>
      <c r="D6" s="6" t="s">
        <v>85</v>
      </c>
      <c r="E6" s="6" t="s">
        <v>61</v>
      </c>
      <c r="F6" s="7">
        <v>46156.463703703703</v>
      </c>
    </row>
    <row r="7" spans="1:7" ht="15.75" customHeight="1" x14ac:dyDescent="0.25">
      <c r="A7" s="6" t="s">
        <v>138</v>
      </c>
      <c r="B7" s="6" t="s">
        <v>51</v>
      </c>
      <c r="C7" s="6" t="s">
        <v>148</v>
      </c>
      <c r="D7" s="6" t="s">
        <v>85</v>
      </c>
      <c r="E7" s="6" t="s">
        <v>55</v>
      </c>
      <c r="F7" s="7">
        <v>46156.463703703703</v>
      </c>
    </row>
    <row r="8" spans="1:7" ht="15.75" customHeight="1" x14ac:dyDescent="0.25">
      <c r="A8" s="6" t="s">
        <v>140</v>
      </c>
      <c r="B8" s="6" t="s">
        <v>51</v>
      </c>
      <c r="C8" s="6" t="s">
        <v>148</v>
      </c>
      <c r="D8" s="6" t="s">
        <v>85</v>
      </c>
      <c r="E8" s="6" t="s">
        <v>59</v>
      </c>
      <c r="F8" s="7">
        <v>46156.463703703703</v>
      </c>
    </row>
    <row r="9" spans="1:7" ht="15.75" customHeight="1" x14ac:dyDescent="0.25">
      <c r="A9" s="6" t="s">
        <v>151</v>
      </c>
      <c r="B9" s="6" t="s">
        <v>51</v>
      </c>
      <c r="C9" s="6" t="s">
        <v>148</v>
      </c>
      <c r="D9" s="6" t="s">
        <v>85</v>
      </c>
      <c r="E9" s="6" t="s">
        <v>64</v>
      </c>
      <c r="F9" s="7">
        <v>46156.46371527778</v>
      </c>
    </row>
    <row r="10" spans="1:7" ht="15.75" customHeight="1" x14ac:dyDescent="0.25">
      <c r="A10" s="6" t="s">
        <v>146</v>
      </c>
      <c r="B10" s="6" t="s">
        <v>51</v>
      </c>
      <c r="C10" s="6" t="s">
        <v>148</v>
      </c>
      <c r="D10" s="6" t="s">
        <v>85</v>
      </c>
      <c r="E10" s="6" t="s">
        <v>58</v>
      </c>
      <c r="F10" s="7">
        <v>46156.46371527778</v>
      </c>
    </row>
    <row r="11" spans="1:7" ht="15.75" customHeight="1" x14ac:dyDescent="0.25">
      <c r="A11" s="6" t="s">
        <v>139</v>
      </c>
      <c r="B11" s="6" t="s">
        <v>51</v>
      </c>
      <c r="C11" s="6" t="s">
        <v>148</v>
      </c>
      <c r="D11" s="6" t="s">
        <v>85</v>
      </c>
      <c r="E11" s="6" t="s">
        <v>54</v>
      </c>
      <c r="F11" s="7">
        <v>46156.463738425926</v>
      </c>
    </row>
    <row r="12" spans="1:7" ht="15.75" customHeight="1" x14ac:dyDescent="0.25">
      <c r="A12" s="6" t="s">
        <v>84</v>
      </c>
      <c r="B12" s="6" t="s">
        <v>51</v>
      </c>
      <c r="C12" s="6" t="s">
        <v>149</v>
      </c>
      <c r="D12" s="6" t="s">
        <v>85</v>
      </c>
      <c r="F12" s="7">
        <v>46156.463796296295</v>
      </c>
    </row>
    <row r="13" spans="1:7" ht="15.75" customHeight="1" x14ac:dyDescent="0.25">
      <c r="A13" s="6" t="s">
        <v>84</v>
      </c>
      <c r="B13" s="6" t="s">
        <v>51</v>
      </c>
      <c r="C13" s="6" t="s">
        <v>149</v>
      </c>
      <c r="D13" s="6" t="s">
        <v>85</v>
      </c>
      <c r="F13" s="7">
        <v>46156.463796296295</v>
      </c>
    </row>
    <row r="14" spans="1:7" ht="15.75" customHeight="1" x14ac:dyDescent="0.25">
      <c r="A14" s="6" t="s">
        <v>84</v>
      </c>
      <c r="B14" s="6" t="s">
        <v>51</v>
      </c>
      <c r="C14" s="6" t="s">
        <v>149</v>
      </c>
      <c r="D14" s="6" t="s">
        <v>85</v>
      </c>
      <c r="F14" s="7">
        <v>46156.463807870372</v>
      </c>
    </row>
    <row r="15" spans="1:7" ht="15.75" customHeight="1" x14ac:dyDescent="0.25">
      <c r="A15" s="6" t="s">
        <v>84</v>
      </c>
      <c r="B15" s="6" t="s">
        <v>51</v>
      </c>
      <c r="C15" s="6" t="s">
        <v>149</v>
      </c>
      <c r="D15" s="6" t="s">
        <v>85</v>
      </c>
      <c r="F15" s="7">
        <v>46156.463807870372</v>
      </c>
    </row>
    <row r="16" spans="1:7" ht="15.75" customHeight="1" x14ac:dyDescent="0.25">
      <c r="A16" s="6" t="s">
        <v>84</v>
      </c>
      <c r="B16" s="6" t="s">
        <v>51</v>
      </c>
      <c r="C16" s="6" t="s">
        <v>149</v>
      </c>
      <c r="D16" s="6" t="s">
        <v>85</v>
      </c>
      <c r="F16" s="7">
        <v>46156.463877314818</v>
      </c>
    </row>
    <row r="17" spans="1:6" ht="15.75" customHeight="1" x14ac:dyDescent="0.25">
      <c r="A17" s="6" t="s">
        <v>84</v>
      </c>
      <c r="B17" s="6" t="s">
        <v>153</v>
      </c>
      <c r="C17" s="6" t="s">
        <v>155</v>
      </c>
      <c r="D17" s="6" t="s">
        <v>85</v>
      </c>
      <c r="F17" s="7">
        <v>46156.476157407407</v>
      </c>
    </row>
    <row r="18" spans="1:6" ht="15.75" customHeight="1" x14ac:dyDescent="0.25">
      <c r="A18" s="6" t="s">
        <v>84</v>
      </c>
      <c r="B18" s="6" t="s">
        <v>153</v>
      </c>
      <c r="C18" s="6" t="s">
        <v>155</v>
      </c>
      <c r="D18" s="6" t="s">
        <v>85</v>
      </c>
      <c r="F18" s="7">
        <v>46156.476168981484</v>
      </c>
    </row>
    <row r="19" spans="1:6" ht="15.75" customHeight="1" x14ac:dyDescent="0.25">
      <c r="A19" s="6" t="s">
        <v>84</v>
      </c>
      <c r="B19" s="6" t="s">
        <v>153</v>
      </c>
      <c r="C19" s="6" t="s">
        <v>155</v>
      </c>
      <c r="D19" s="6" t="s">
        <v>85</v>
      </c>
      <c r="F19" s="7">
        <v>46156.47619212963</v>
      </c>
    </row>
    <row r="20" spans="1:6" ht="15.75" customHeight="1" x14ac:dyDescent="0.25">
      <c r="A20" s="6" t="s">
        <v>84</v>
      </c>
      <c r="B20" s="6" t="s">
        <v>153</v>
      </c>
      <c r="C20" s="6" t="s">
        <v>155</v>
      </c>
      <c r="D20" s="6" t="s">
        <v>85</v>
      </c>
      <c r="F20" s="7">
        <v>46156.47619212963</v>
      </c>
    </row>
    <row r="21" spans="1:6" ht="15.75" customHeight="1" x14ac:dyDescent="0.25">
      <c r="A21" s="6" t="s">
        <v>84</v>
      </c>
      <c r="B21" s="6" t="s">
        <v>153</v>
      </c>
      <c r="C21" s="6" t="s">
        <v>155</v>
      </c>
      <c r="D21" s="6" t="s">
        <v>85</v>
      </c>
      <c r="F21" s="7">
        <v>46156.476273148146</v>
      </c>
    </row>
    <row r="22" spans="1:6" ht="15.75" customHeight="1" x14ac:dyDescent="0.25">
      <c r="A22" s="6" t="s">
        <v>84</v>
      </c>
      <c r="B22" s="6" t="s">
        <v>153</v>
      </c>
      <c r="C22" s="6" t="s">
        <v>155</v>
      </c>
      <c r="D22" s="6" t="s">
        <v>85</v>
      </c>
      <c r="F22" s="7">
        <v>46156.476284722223</v>
      </c>
    </row>
    <row r="23" spans="1:6" ht="15.75" customHeight="1" x14ac:dyDescent="0.25">
      <c r="A23" s="6" t="s">
        <v>84</v>
      </c>
      <c r="B23" s="6" t="s">
        <v>153</v>
      </c>
      <c r="C23" s="6" t="s">
        <v>155</v>
      </c>
      <c r="D23" s="6" t="s">
        <v>85</v>
      </c>
      <c r="F23" s="7">
        <v>46156.476354166669</v>
      </c>
    </row>
    <row r="24" spans="1:6" ht="15.75" customHeight="1" x14ac:dyDescent="0.25">
      <c r="A24" s="6" t="s">
        <v>84</v>
      </c>
      <c r="B24" s="6" t="s">
        <v>153</v>
      </c>
      <c r="C24" s="6" t="s">
        <v>155</v>
      </c>
      <c r="D24" s="6" t="s">
        <v>85</v>
      </c>
      <c r="F24" s="7">
        <v>46156.476435185185</v>
      </c>
    </row>
    <row r="25" spans="1:6" ht="15.75" customHeight="1" x14ac:dyDescent="0.25">
      <c r="A25" s="6" t="s">
        <v>84</v>
      </c>
      <c r="B25" s="6" t="s">
        <v>153</v>
      </c>
      <c r="C25" s="6" t="s">
        <v>155</v>
      </c>
      <c r="D25" s="6" t="s">
        <v>85</v>
      </c>
      <c r="F25" s="7">
        <v>46156.476689814815</v>
      </c>
    </row>
    <row r="26" spans="1:6" ht="15.75" customHeight="1" x14ac:dyDescent="0.25">
      <c r="A26" s="6" t="s">
        <v>136</v>
      </c>
      <c r="B26" s="6" t="s">
        <v>153</v>
      </c>
      <c r="C26" s="6" t="s">
        <v>154</v>
      </c>
      <c r="D26" s="6" t="s">
        <v>85</v>
      </c>
      <c r="E26" s="6" t="s">
        <v>52</v>
      </c>
      <c r="F26" s="7">
        <v>46156.476724537039</v>
      </c>
    </row>
    <row r="27" spans="1:6" ht="15.75" customHeight="1" x14ac:dyDescent="0.25">
      <c r="A27" s="6" t="s">
        <v>100</v>
      </c>
      <c r="B27" s="6" t="s">
        <v>153</v>
      </c>
      <c r="C27" s="6" t="s">
        <v>154</v>
      </c>
      <c r="D27" s="6" t="s">
        <v>85</v>
      </c>
      <c r="E27" s="6" t="s">
        <v>53</v>
      </c>
      <c r="F27" s="7">
        <v>46156.476736111108</v>
      </c>
    </row>
    <row r="28" spans="1:6" ht="15.75" customHeight="1" x14ac:dyDescent="0.25">
      <c r="A28" s="6" t="s">
        <v>138</v>
      </c>
      <c r="B28" s="6" t="s">
        <v>153</v>
      </c>
      <c r="C28" s="6" t="s">
        <v>154</v>
      </c>
      <c r="D28" s="6" t="s">
        <v>85</v>
      </c>
      <c r="E28" s="6" t="s">
        <v>55</v>
      </c>
      <c r="F28" s="7">
        <v>46156.476736111108</v>
      </c>
    </row>
    <row r="29" spans="1:6" ht="15.75" customHeight="1" x14ac:dyDescent="0.25">
      <c r="A29" s="6" t="s">
        <v>139</v>
      </c>
      <c r="B29" s="6" t="s">
        <v>153</v>
      </c>
      <c r="C29" s="6" t="s">
        <v>154</v>
      </c>
      <c r="D29" s="6" t="s">
        <v>85</v>
      </c>
      <c r="E29" s="6" t="s">
        <v>54</v>
      </c>
      <c r="F29" s="7">
        <v>46156.476736111108</v>
      </c>
    </row>
    <row r="30" spans="1:6" ht="15.75" customHeight="1" x14ac:dyDescent="0.25">
      <c r="A30" s="6" t="s">
        <v>135</v>
      </c>
      <c r="B30" s="6" t="s">
        <v>153</v>
      </c>
      <c r="C30" s="6" t="s">
        <v>154</v>
      </c>
      <c r="D30" s="6" t="s">
        <v>85</v>
      </c>
      <c r="E30" s="6" t="s">
        <v>56</v>
      </c>
      <c r="F30" s="7">
        <v>46156.476747685185</v>
      </c>
    </row>
    <row r="31" spans="1:6" ht="15.75" customHeight="1" x14ac:dyDescent="0.25">
      <c r="A31" s="6" t="s">
        <v>140</v>
      </c>
      <c r="B31" s="6" t="s">
        <v>153</v>
      </c>
      <c r="C31" s="6" t="s">
        <v>154</v>
      </c>
      <c r="D31" s="6" t="s">
        <v>85</v>
      </c>
      <c r="E31" s="6" t="s">
        <v>59</v>
      </c>
      <c r="F31" s="7">
        <v>46156.476747685185</v>
      </c>
    </row>
    <row r="32" spans="1:6" ht="15.75" customHeight="1" x14ac:dyDescent="0.25">
      <c r="A32" s="6" t="s">
        <v>135</v>
      </c>
      <c r="B32" s="6" t="s">
        <v>153</v>
      </c>
      <c r="C32" s="6" t="s">
        <v>154</v>
      </c>
      <c r="D32" s="6" t="s">
        <v>85</v>
      </c>
      <c r="E32" s="6" t="s">
        <v>56</v>
      </c>
      <c r="F32" s="7">
        <v>46156.476747685185</v>
      </c>
    </row>
    <row r="33" spans="1:6" ht="15.75" customHeight="1" x14ac:dyDescent="0.25">
      <c r="A33" s="6" t="s">
        <v>156</v>
      </c>
      <c r="B33" s="6" t="s">
        <v>71</v>
      </c>
      <c r="C33" s="6" t="s">
        <v>157</v>
      </c>
      <c r="D33" s="6" t="s">
        <v>143</v>
      </c>
      <c r="E33" s="6">
        <v>0</v>
      </c>
      <c r="F33" s="7">
        <v>46156.628518518519</v>
      </c>
    </row>
    <row r="34" spans="1:6" ht="15.75" customHeight="1" x14ac:dyDescent="0.25">
      <c r="A34" s="6" t="s">
        <v>136</v>
      </c>
      <c r="B34" s="6" t="s">
        <v>145</v>
      </c>
      <c r="C34" s="6" t="s">
        <v>158</v>
      </c>
      <c r="D34" s="6" t="s">
        <v>85</v>
      </c>
      <c r="E34" s="6" t="s">
        <v>52</v>
      </c>
      <c r="F34" s="7">
        <v>46156.630682870367</v>
      </c>
    </row>
    <row r="35" spans="1:6" ht="15.75" customHeight="1" x14ac:dyDescent="0.25">
      <c r="A35" s="6" t="s">
        <v>139</v>
      </c>
      <c r="B35" s="6" t="s">
        <v>145</v>
      </c>
      <c r="C35" s="6" t="s">
        <v>158</v>
      </c>
      <c r="D35" s="6" t="s">
        <v>85</v>
      </c>
      <c r="E35" s="6" t="s">
        <v>54</v>
      </c>
      <c r="F35" s="7">
        <v>46156.630682870367</v>
      </c>
    </row>
    <row r="36" spans="1:6" ht="15.75" customHeight="1" x14ac:dyDescent="0.25">
      <c r="A36" s="6" t="s">
        <v>138</v>
      </c>
      <c r="B36" s="6" t="s">
        <v>145</v>
      </c>
      <c r="C36" s="6" t="s">
        <v>158</v>
      </c>
      <c r="D36" s="6" t="s">
        <v>85</v>
      </c>
      <c r="E36" s="6" t="s">
        <v>55</v>
      </c>
      <c r="F36" s="7">
        <v>46156.630694444444</v>
      </c>
    </row>
    <row r="37" spans="1:6" ht="15.75" customHeight="1" x14ac:dyDescent="0.25">
      <c r="A37" s="6" t="s">
        <v>100</v>
      </c>
      <c r="B37" s="6" t="s">
        <v>145</v>
      </c>
      <c r="C37" s="6" t="s">
        <v>158</v>
      </c>
      <c r="D37" s="6" t="s">
        <v>85</v>
      </c>
      <c r="E37" s="6" t="s">
        <v>53</v>
      </c>
      <c r="F37" s="7">
        <v>46156.630694444444</v>
      </c>
    </row>
    <row r="38" spans="1:6" ht="15.75" customHeight="1" x14ac:dyDescent="0.25">
      <c r="A38" s="6" t="s">
        <v>137</v>
      </c>
      <c r="B38" s="6" t="s">
        <v>145</v>
      </c>
      <c r="C38" s="6" t="s">
        <v>158</v>
      </c>
      <c r="D38" s="6" t="s">
        <v>85</v>
      </c>
      <c r="E38" s="6" t="s">
        <v>57</v>
      </c>
      <c r="F38" s="7">
        <v>46156.630694444444</v>
      </c>
    </row>
    <row r="39" spans="1:6" ht="15.75" customHeight="1" x14ac:dyDescent="0.25">
      <c r="A39" s="6" t="s">
        <v>84</v>
      </c>
      <c r="B39" s="6" t="s">
        <v>145</v>
      </c>
      <c r="C39" s="6" t="s">
        <v>161</v>
      </c>
      <c r="D39" s="6" t="s">
        <v>85</v>
      </c>
      <c r="F39" s="7">
        <v>46156.630740740744</v>
      </c>
    </row>
    <row r="40" spans="1:6" ht="15.75" customHeight="1" x14ac:dyDescent="0.25">
      <c r="A40" s="6" t="s">
        <v>84</v>
      </c>
      <c r="B40" s="6" t="s">
        <v>145</v>
      </c>
      <c r="C40" s="6" t="s">
        <v>161</v>
      </c>
      <c r="D40" s="6" t="s">
        <v>85</v>
      </c>
      <c r="F40" s="7">
        <v>46156.630787037036</v>
      </c>
    </row>
    <row r="41" spans="1:6" ht="15.75" customHeight="1" x14ac:dyDescent="0.25">
      <c r="A41" s="6" t="s">
        <v>84</v>
      </c>
      <c r="B41" s="6" t="s">
        <v>145</v>
      </c>
      <c r="C41" s="6" t="s">
        <v>161</v>
      </c>
      <c r="D41" s="6" t="s">
        <v>85</v>
      </c>
      <c r="F41" s="7">
        <v>46156.630798611113</v>
      </c>
    </row>
    <row r="42" spans="1:6" ht="15.75" customHeight="1" x14ac:dyDescent="0.25">
      <c r="A42" s="6" t="s">
        <v>84</v>
      </c>
      <c r="B42" s="6" t="s">
        <v>145</v>
      </c>
      <c r="C42" s="6" t="s">
        <v>161</v>
      </c>
      <c r="D42" s="6" t="s">
        <v>85</v>
      </c>
      <c r="F42" s="7">
        <v>46156.63082175926</v>
      </c>
    </row>
    <row r="43" spans="1:6" ht="15.75" customHeight="1" x14ac:dyDescent="0.25">
      <c r="A43" s="6" t="s">
        <v>84</v>
      </c>
      <c r="B43" s="6" t="s">
        <v>145</v>
      </c>
      <c r="C43" s="6" t="s">
        <v>161</v>
      </c>
      <c r="D43" s="6" t="s">
        <v>85</v>
      </c>
      <c r="F43" s="7">
        <v>46156.630856481483</v>
      </c>
    </row>
    <row r="44" spans="1:6" ht="15.75" customHeight="1" x14ac:dyDescent="0.25">
      <c r="A44" s="6" t="s">
        <v>84</v>
      </c>
      <c r="B44" s="6" t="s">
        <v>145</v>
      </c>
      <c r="C44" s="6" t="s">
        <v>159</v>
      </c>
      <c r="D44" s="6" t="s">
        <v>85</v>
      </c>
      <c r="F44" s="7">
        <v>46156.630960648145</v>
      </c>
    </row>
    <row r="45" spans="1:6" ht="15.75" customHeight="1" x14ac:dyDescent="0.25">
      <c r="A45" s="6" t="s">
        <v>84</v>
      </c>
      <c r="B45" s="6" t="s">
        <v>145</v>
      </c>
      <c r="C45" s="6" t="s">
        <v>159</v>
      </c>
      <c r="D45" s="6" t="s">
        <v>85</v>
      </c>
      <c r="F45" s="7">
        <v>46156.630972222221</v>
      </c>
    </row>
    <row r="46" spans="1:6" ht="15.75" customHeight="1" x14ac:dyDescent="0.25">
      <c r="A46" s="6" t="s">
        <v>84</v>
      </c>
      <c r="B46" s="6" t="s">
        <v>145</v>
      </c>
      <c r="C46" s="6" t="s">
        <v>160</v>
      </c>
      <c r="D46" s="6" t="s">
        <v>85</v>
      </c>
      <c r="F46" s="7">
        <v>46156.631041666667</v>
      </c>
    </row>
    <row r="47" spans="1:6" ht="15.75" customHeight="1" x14ac:dyDescent="0.25">
      <c r="A47" s="6" t="s">
        <v>84</v>
      </c>
      <c r="B47" s="6" t="s">
        <v>145</v>
      </c>
      <c r="C47" s="6" t="s">
        <v>160</v>
      </c>
      <c r="D47" s="6" t="s">
        <v>85</v>
      </c>
      <c r="F47" s="7">
        <v>46156.631064814814</v>
      </c>
    </row>
    <row r="48" spans="1:6" ht="15.75" customHeight="1" x14ac:dyDescent="0.25">
      <c r="A48" s="6" t="s">
        <v>84</v>
      </c>
      <c r="B48" s="6" t="s">
        <v>145</v>
      </c>
      <c r="C48" s="6" t="s">
        <v>160</v>
      </c>
      <c r="D48" s="6" t="s">
        <v>85</v>
      </c>
      <c r="F48" s="7">
        <v>46156.63108796296</v>
      </c>
    </row>
    <row r="49" spans="1:6" ht="15.75" customHeight="1" x14ac:dyDescent="0.25">
      <c r="A49" s="6" t="s">
        <v>84</v>
      </c>
      <c r="B49" s="6" t="s">
        <v>145</v>
      </c>
      <c r="C49" s="6" t="s">
        <v>160</v>
      </c>
      <c r="D49" s="6" t="s">
        <v>85</v>
      </c>
      <c r="F49" s="7">
        <v>46156.631122685183</v>
      </c>
    </row>
    <row r="50" spans="1:6" ht="15.75" customHeight="1" x14ac:dyDescent="0.25">
      <c r="A50" s="6" t="s">
        <v>84</v>
      </c>
      <c r="B50" s="6" t="s">
        <v>145</v>
      </c>
      <c r="C50" s="6" t="s">
        <v>160</v>
      </c>
      <c r="D50" s="6" t="s">
        <v>85</v>
      </c>
      <c r="F50" s="7">
        <v>46156.642210648148</v>
      </c>
    </row>
    <row r="51" spans="1:6" ht="15.75" customHeight="1" x14ac:dyDescent="0.25">
      <c r="A51" s="6" t="s">
        <v>136</v>
      </c>
      <c r="B51" s="6" t="s">
        <v>162</v>
      </c>
      <c r="C51" s="6" t="s">
        <v>163</v>
      </c>
      <c r="D51" s="6" t="s">
        <v>85</v>
      </c>
      <c r="E51" s="6" t="s">
        <v>52</v>
      </c>
      <c r="F51" s="7">
        <v>46156.64671296296</v>
      </c>
    </row>
    <row r="52" spans="1:6" ht="15.75" customHeight="1" x14ac:dyDescent="0.25">
      <c r="A52" s="6" t="s">
        <v>136</v>
      </c>
      <c r="B52" s="6" t="s">
        <v>162</v>
      </c>
      <c r="C52" s="6" t="s">
        <v>163</v>
      </c>
      <c r="D52" s="6" t="s">
        <v>85</v>
      </c>
      <c r="E52" s="6" t="s">
        <v>52</v>
      </c>
      <c r="F52" s="7">
        <v>46156.646736111114</v>
      </c>
    </row>
    <row r="53" spans="1:6" ht="15.75" customHeight="1" x14ac:dyDescent="0.25">
      <c r="A53" s="6" t="s">
        <v>100</v>
      </c>
      <c r="B53" s="6" t="s">
        <v>162</v>
      </c>
      <c r="C53" s="6" t="s">
        <v>163</v>
      </c>
      <c r="D53" s="6" t="s">
        <v>85</v>
      </c>
      <c r="E53" s="6" t="s">
        <v>53</v>
      </c>
      <c r="F53" s="7">
        <v>46156.646782407406</v>
      </c>
    </row>
    <row r="54" spans="1:6" ht="15.75" customHeight="1" x14ac:dyDescent="0.25">
      <c r="A54" s="6" t="s">
        <v>139</v>
      </c>
      <c r="B54" s="6" t="s">
        <v>162</v>
      </c>
      <c r="C54" s="6" t="s">
        <v>163</v>
      </c>
      <c r="D54" s="6" t="s">
        <v>85</v>
      </c>
      <c r="E54" s="6" t="s">
        <v>54</v>
      </c>
      <c r="F54" s="7">
        <v>46156.646805555552</v>
      </c>
    </row>
    <row r="55" spans="1:6" ht="15.75" customHeight="1" x14ac:dyDescent="0.25">
      <c r="A55" s="6" t="s">
        <v>138</v>
      </c>
      <c r="B55" s="6" t="s">
        <v>162</v>
      </c>
      <c r="C55" s="6" t="s">
        <v>163</v>
      </c>
      <c r="D55" s="6" t="s">
        <v>85</v>
      </c>
      <c r="E55" s="6" t="s">
        <v>55</v>
      </c>
      <c r="F55" s="7">
        <v>46156.646817129629</v>
      </c>
    </row>
    <row r="56" spans="1:6" ht="15.75" customHeight="1" x14ac:dyDescent="0.25">
      <c r="A56" s="6" t="s">
        <v>135</v>
      </c>
      <c r="B56" s="6" t="s">
        <v>162</v>
      </c>
      <c r="C56" s="6" t="s">
        <v>163</v>
      </c>
      <c r="D56" s="6" t="s">
        <v>85</v>
      </c>
      <c r="E56" s="6" t="s">
        <v>56</v>
      </c>
      <c r="F56" s="7">
        <v>46156.646828703706</v>
      </c>
    </row>
    <row r="57" spans="1:6" ht="15.75" customHeight="1" x14ac:dyDescent="0.25">
      <c r="A57" s="6" t="s">
        <v>84</v>
      </c>
      <c r="B57" s="6" t="s">
        <v>162</v>
      </c>
      <c r="C57" s="6" t="s">
        <v>164</v>
      </c>
      <c r="D57" s="6" t="s">
        <v>85</v>
      </c>
      <c r="F57" s="7">
        <v>46156.683032407411</v>
      </c>
    </row>
    <row r="58" spans="1:6" ht="15.75" customHeight="1" x14ac:dyDescent="0.25">
      <c r="A58" s="6" t="s">
        <v>84</v>
      </c>
      <c r="B58" s="6" t="s">
        <v>162</v>
      </c>
      <c r="C58" s="6" t="s">
        <v>164</v>
      </c>
      <c r="D58" s="6" t="s">
        <v>85</v>
      </c>
      <c r="F58" s="7">
        <v>46156.68304398148</v>
      </c>
    </row>
    <row r="59" spans="1:6" ht="15.75" customHeight="1" x14ac:dyDescent="0.25">
      <c r="A59" s="6" t="s">
        <v>84</v>
      </c>
      <c r="B59" s="6" t="s">
        <v>162</v>
      </c>
      <c r="C59" s="6" t="s">
        <v>164</v>
      </c>
      <c r="D59" s="6" t="s">
        <v>85</v>
      </c>
      <c r="F59" s="7">
        <v>46156.683055555557</v>
      </c>
    </row>
    <row r="60" spans="1:6" ht="15.75" customHeight="1" x14ac:dyDescent="0.25">
      <c r="A60" s="6" t="s">
        <v>84</v>
      </c>
      <c r="B60" s="6" t="s">
        <v>162</v>
      </c>
      <c r="C60" s="6" t="s">
        <v>164</v>
      </c>
      <c r="D60" s="6" t="s">
        <v>85</v>
      </c>
      <c r="F60" s="7">
        <v>46156.68309027778</v>
      </c>
    </row>
    <row r="61" spans="1:6" ht="15.75" customHeight="1" x14ac:dyDescent="0.25">
      <c r="A61" s="6" t="s">
        <v>84</v>
      </c>
      <c r="B61" s="6" t="s">
        <v>162</v>
      </c>
      <c r="C61" s="6" t="s">
        <v>164</v>
      </c>
      <c r="D61" s="6" t="s">
        <v>85</v>
      </c>
      <c r="F61" s="7">
        <v>46156.68310185185</v>
      </c>
    </row>
    <row r="62" spans="1:6" ht="15.75" customHeight="1" x14ac:dyDescent="0.25">
      <c r="A62" s="6" t="s">
        <v>136</v>
      </c>
      <c r="B62" s="6" t="s">
        <v>89</v>
      </c>
      <c r="C62" s="6" t="s">
        <v>165</v>
      </c>
      <c r="D62" s="6" t="s">
        <v>85</v>
      </c>
      <c r="E62" s="6" t="s">
        <v>52</v>
      </c>
      <c r="F62" s="7">
        <v>46156.686828703707</v>
      </c>
    </row>
    <row r="63" spans="1:6" ht="15.75" customHeight="1" x14ac:dyDescent="0.25">
      <c r="A63" s="6" t="s">
        <v>136</v>
      </c>
      <c r="B63" s="6" t="s">
        <v>89</v>
      </c>
      <c r="C63" s="6" t="s">
        <v>165</v>
      </c>
      <c r="D63" s="6" t="s">
        <v>85</v>
      </c>
      <c r="E63" s="6" t="s">
        <v>52</v>
      </c>
      <c r="F63" s="7">
        <v>46156.686863425923</v>
      </c>
    </row>
    <row r="64" spans="1:6" ht="15.75" customHeight="1" x14ac:dyDescent="0.25">
      <c r="A64" s="6" t="s">
        <v>100</v>
      </c>
      <c r="B64" s="6" t="s">
        <v>89</v>
      </c>
      <c r="C64" s="6" t="s">
        <v>165</v>
      </c>
      <c r="D64" s="6" t="s">
        <v>85</v>
      </c>
      <c r="E64" s="6" t="s">
        <v>53</v>
      </c>
      <c r="F64" s="7">
        <v>46156.686874999999</v>
      </c>
    </row>
    <row r="65" spans="1:6" ht="15.75" customHeight="1" x14ac:dyDescent="0.25">
      <c r="A65" s="6" t="s">
        <v>138</v>
      </c>
      <c r="B65" s="6" t="s">
        <v>89</v>
      </c>
      <c r="C65" s="6" t="s">
        <v>165</v>
      </c>
      <c r="D65" s="6" t="s">
        <v>85</v>
      </c>
      <c r="E65" s="6" t="s">
        <v>55</v>
      </c>
      <c r="F65" s="7">
        <v>46156.686886574076</v>
      </c>
    </row>
    <row r="66" spans="1:6" ht="15.75" customHeight="1" x14ac:dyDescent="0.25">
      <c r="A66" s="6" t="s">
        <v>139</v>
      </c>
      <c r="B66" s="6" t="s">
        <v>89</v>
      </c>
      <c r="C66" s="6" t="s">
        <v>165</v>
      </c>
      <c r="D66" s="6" t="s">
        <v>85</v>
      </c>
      <c r="E66" s="6" t="s">
        <v>54</v>
      </c>
      <c r="F66" s="7">
        <v>46156.686886574076</v>
      </c>
    </row>
    <row r="67" spans="1:6" ht="15.75" customHeight="1" x14ac:dyDescent="0.25">
      <c r="A67" s="6" t="s">
        <v>84</v>
      </c>
      <c r="B67" s="6" t="s">
        <v>89</v>
      </c>
      <c r="C67" s="6" t="s">
        <v>166</v>
      </c>
      <c r="D67" s="6" t="s">
        <v>85</v>
      </c>
      <c r="F67" s="7">
        <v>46156.686932870369</v>
      </c>
    </row>
    <row r="68" spans="1:6" ht="15.75" customHeight="1" x14ac:dyDescent="0.25">
      <c r="A68" s="6" t="s">
        <v>84</v>
      </c>
      <c r="B68" s="6" t="s">
        <v>89</v>
      </c>
      <c r="C68" s="6" t="s">
        <v>166</v>
      </c>
      <c r="D68" s="6" t="s">
        <v>85</v>
      </c>
      <c r="F68" s="7">
        <v>46156.686944444446</v>
      </c>
    </row>
    <row r="69" spans="1:6" ht="15.75" customHeight="1" x14ac:dyDescent="0.25">
      <c r="A69" s="6" t="s">
        <v>84</v>
      </c>
      <c r="B69" s="6" t="s">
        <v>89</v>
      </c>
      <c r="C69" s="6" t="s">
        <v>166</v>
      </c>
      <c r="D69" s="6" t="s">
        <v>85</v>
      </c>
      <c r="F69" s="7">
        <v>46156.686956018515</v>
      </c>
    </row>
    <row r="70" spans="1:6" ht="15.75" customHeight="1" x14ac:dyDescent="0.25">
      <c r="A70" s="6" t="s">
        <v>84</v>
      </c>
      <c r="B70" s="6" t="s">
        <v>89</v>
      </c>
      <c r="C70" s="6" t="s">
        <v>166</v>
      </c>
      <c r="D70" s="6" t="s">
        <v>85</v>
      </c>
      <c r="F70" s="7">
        <v>46156.687002314815</v>
      </c>
    </row>
    <row r="71" spans="1:6" ht="15.75" customHeight="1" x14ac:dyDescent="0.25">
      <c r="A71" s="6" t="s">
        <v>84</v>
      </c>
      <c r="B71" s="6" t="s">
        <v>167</v>
      </c>
      <c r="C71" s="6" t="s">
        <v>169</v>
      </c>
      <c r="D71" s="6" t="s">
        <v>85</v>
      </c>
      <c r="F71" s="7">
        <v>46156.696712962963</v>
      </c>
    </row>
    <row r="72" spans="1:6" ht="15.75" customHeight="1" x14ac:dyDescent="0.25">
      <c r="A72" s="6" t="s">
        <v>84</v>
      </c>
      <c r="B72" s="6" t="s">
        <v>167</v>
      </c>
      <c r="C72" s="6" t="s">
        <v>169</v>
      </c>
      <c r="D72" s="6" t="s">
        <v>85</v>
      </c>
      <c r="F72" s="7">
        <v>46156.69672453704</v>
      </c>
    </row>
    <row r="73" spans="1:6" ht="15.75" customHeight="1" x14ac:dyDescent="0.25">
      <c r="A73" s="6" t="s">
        <v>84</v>
      </c>
      <c r="B73" s="6" t="s">
        <v>167</v>
      </c>
      <c r="C73" s="6" t="s">
        <v>169</v>
      </c>
      <c r="D73" s="6" t="s">
        <v>85</v>
      </c>
      <c r="F73" s="7">
        <v>46156.696736111109</v>
      </c>
    </row>
    <row r="74" spans="1:6" ht="15.75" customHeight="1" x14ac:dyDescent="0.25">
      <c r="A74" s="6" t="s">
        <v>84</v>
      </c>
      <c r="B74" s="6" t="s">
        <v>167</v>
      </c>
      <c r="C74" s="6" t="s">
        <v>169</v>
      </c>
      <c r="D74" s="6" t="s">
        <v>85</v>
      </c>
      <c r="F74" s="7">
        <v>46156.696805555555</v>
      </c>
    </row>
    <row r="75" spans="1:6" ht="15.75" customHeight="1" x14ac:dyDescent="0.25">
      <c r="A75" s="6" t="s">
        <v>100</v>
      </c>
      <c r="B75" s="6" t="s">
        <v>167</v>
      </c>
      <c r="C75" s="6" t="s">
        <v>168</v>
      </c>
      <c r="D75" s="6" t="s">
        <v>85</v>
      </c>
      <c r="E75" s="6" t="s">
        <v>53</v>
      </c>
      <c r="F75" s="7">
        <v>46156.696886574071</v>
      </c>
    </row>
    <row r="76" spans="1:6" ht="15.75" customHeight="1" x14ac:dyDescent="0.25">
      <c r="A76" s="6" t="s">
        <v>139</v>
      </c>
      <c r="B76" s="6" t="s">
        <v>167</v>
      </c>
      <c r="C76" s="6" t="s">
        <v>168</v>
      </c>
      <c r="D76" s="6" t="s">
        <v>85</v>
      </c>
      <c r="E76" s="6" t="s">
        <v>54</v>
      </c>
      <c r="F76" s="7">
        <v>46156.696898148148</v>
      </c>
    </row>
    <row r="77" spans="1:6" ht="15.75" customHeight="1" x14ac:dyDescent="0.25">
      <c r="A77" s="6" t="s">
        <v>138</v>
      </c>
      <c r="B77" s="6" t="s">
        <v>167</v>
      </c>
      <c r="C77" s="6" t="s">
        <v>168</v>
      </c>
      <c r="D77" s="6" t="s">
        <v>85</v>
      </c>
      <c r="E77" s="6" t="s">
        <v>55</v>
      </c>
      <c r="F77" s="7">
        <v>46156.696898148148</v>
      </c>
    </row>
    <row r="78" spans="1:6" ht="15.75" customHeight="1" x14ac:dyDescent="0.25">
      <c r="A78" s="6" t="s">
        <v>135</v>
      </c>
      <c r="B78" s="6" t="s">
        <v>167</v>
      </c>
      <c r="C78" s="6" t="s">
        <v>168</v>
      </c>
      <c r="D78" s="6" t="s">
        <v>85</v>
      </c>
      <c r="E78" s="6" t="s">
        <v>56</v>
      </c>
      <c r="F78" s="7">
        <v>46156.696898148148</v>
      </c>
    </row>
    <row r="79" spans="1:6" ht="15.75" customHeight="1" x14ac:dyDescent="0.25">
      <c r="A79" s="6" t="s">
        <v>137</v>
      </c>
      <c r="B79" s="6" t="s">
        <v>167</v>
      </c>
      <c r="C79" s="6" t="s">
        <v>168</v>
      </c>
      <c r="D79" s="6" t="s">
        <v>85</v>
      </c>
      <c r="E79" s="6" t="s">
        <v>57</v>
      </c>
      <c r="F79" s="7">
        <v>46156.696909722225</v>
      </c>
    </row>
    <row r="80" spans="1:6" ht="15.75" customHeight="1" x14ac:dyDescent="0.25">
      <c r="A80" s="6" t="s">
        <v>172</v>
      </c>
      <c r="B80" s="6" t="s">
        <v>170</v>
      </c>
      <c r="C80" s="6" t="s">
        <v>171</v>
      </c>
      <c r="D80" s="6" t="s">
        <v>85</v>
      </c>
      <c r="E80" s="6" t="s">
        <v>69</v>
      </c>
      <c r="F80" s="7">
        <v>46156.710474537038</v>
      </c>
    </row>
    <row r="81" spans="1:6" ht="15.75" customHeight="1" x14ac:dyDescent="0.25">
      <c r="A81" s="6" t="s">
        <v>173</v>
      </c>
      <c r="B81" s="6" t="s">
        <v>170</v>
      </c>
      <c r="C81" s="6" t="s">
        <v>171</v>
      </c>
      <c r="D81" s="6" t="s">
        <v>85</v>
      </c>
      <c r="E81" s="6" t="s">
        <v>67</v>
      </c>
      <c r="F81" s="7">
        <v>46156.710474537038</v>
      </c>
    </row>
    <row r="82" spans="1:6" ht="15.75" customHeight="1" x14ac:dyDescent="0.25">
      <c r="A82" s="6" t="s">
        <v>174</v>
      </c>
      <c r="B82" s="6" t="s">
        <v>170</v>
      </c>
      <c r="C82" s="6" t="s">
        <v>171</v>
      </c>
      <c r="D82" s="6" t="s">
        <v>85</v>
      </c>
      <c r="E82" s="6" t="s">
        <v>65</v>
      </c>
      <c r="F82" s="7">
        <v>46156.710486111115</v>
      </c>
    </row>
    <row r="83" spans="1:6" ht="15.75" customHeight="1" x14ac:dyDescent="0.25">
      <c r="A83" s="6" t="s">
        <v>174</v>
      </c>
      <c r="B83" s="6" t="s">
        <v>170</v>
      </c>
      <c r="C83" s="6" t="s">
        <v>171</v>
      </c>
      <c r="D83" s="6" t="s">
        <v>85</v>
      </c>
      <c r="E83" s="6" t="s">
        <v>65</v>
      </c>
      <c r="F83" s="7">
        <v>46156.710509259261</v>
      </c>
    </row>
    <row r="84" spans="1:6" ht="15.75" customHeight="1" x14ac:dyDescent="0.25">
      <c r="A84" s="6" t="s">
        <v>100</v>
      </c>
      <c r="B84" s="6" t="s">
        <v>167</v>
      </c>
      <c r="C84" s="6" t="s">
        <v>175</v>
      </c>
      <c r="D84" s="6" t="s">
        <v>85</v>
      </c>
      <c r="E84" s="6" t="s">
        <v>53</v>
      </c>
      <c r="F84" s="7">
        <v>46156.714687500003</v>
      </c>
    </row>
    <row r="85" spans="1:6" ht="15.75" customHeight="1" x14ac:dyDescent="0.25">
      <c r="A85" s="6" t="s">
        <v>136</v>
      </c>
      <c r="B85" s="6" t="s">
        <v>167</v>
      </c>
      <c r="C85" s="6" t="s">
        <v>175</v>
      </c>
      <c r="D85" s="6" t="s">
        <v>85</v>
      </c>
      <c r="E85" s="6" t="s">
        <v>52</v>
      </c>
      <c r="F85" s="7">
        <v>46156.714687500003</v>
      </c>
    </row>
    <row r="86" spans="1:6" ht="15.75" customHeight="1" x14ac:dyDescent="0.25">
      <c r="A86" s="6" t="s">
        <v>137</v>
      </c>
      <c r="B86" s="6" t="s">
        <v>167</v>
      </c>
      <c r="C86" s="6" t="s">
        <v>175</v>
      </c>
      <c r="D86" s="6" t="s">
        <v>85</v>
      </c>
      <c r="E86" s="6" t="s">
        <v>57</v>
      </c>
      <c r="F86" s="7">
        <v>46156.714699074073</v>
      </c>
    </row>
    <row r="87" spans="1:6" ht="15.75" customHeight="1" x14ac:dyDescent="0.25">
      <c r="A87" s="6" t="s">
        <v>138</v>
      </c>
      <c r="B87" s="6" t="s">
        <v>167</v>
      </c>
      <c r="C87" s="6" t="s">
        <v>175</v>
      </c>
      <c r="D87" s="6" t="s">
        <v>85</v>
      </c>
      <c r="E87" s="6" t="s">
        <v>55</v>
      </c>
      <c r="F87" s="7">
        <v>46156.714699074073</v>
      </c>
    </row>
    <row r="88" spans="1:6" ht="15.75" customHeight="1" x14ac:dyDescent="0.25">
      <c r="A88" s="6" t="s">
        <v>139</v>
      </c>
      <c r="B88" s="6" t="s">
        <v>167</v>
      </c>
      <c r="C88" s="6" t="s">
        <v>175</v>
      </c>
      <c r="D88" s="6" t="s">
        <v>85</v>
      </c>
      <c r="E88" s="6" t="s">
        <v>54</v>
      </c>
      <c r="F88" s="7">
        <v>46156.714699074073</v>
      </c>
    </row>
    <row r="89" spans="1:6" ht="15.75" customHeight="1" x14ac:dyDescent="0.25">
      <c r="A89" s="6" t="s">
        <v>135</v>
      </c>
      <c r="B89" s="6" t="s">
        <v>167</v>
      </c>
      <c r="C89" s="6" t="s">
        <v>175</v>
      </c>
      <c r="D89" s="6" t="s">
        <v>85</v>
      </c>
      <c r="E89" s="6" t="s">
        <v>56</v>
      </c>
      <c r="F89" s="7">
        <v>46156.71471064815</v>
      </c>
    </row>
    <row r="90" spans="1:6" ht="15.75" customHeight="1" x14ac:dyDescent="0.25">
      <c r="A90" s="6" t="s">
        <v>84</v>
      </c>
      <c r="B90" s="6" t="s">
        <v>167</v>
      </c>
      <c r="C90" s="6" t="s">
        <v>176</v>
      </c>
      <c r="D90" s="6" t="s">
        <v>85</v>
      </c>
      <c r="F90" s="7">
        <v>46156.714756944442</v>
      </c>
    </row>
    <row r="91" spans="1:6" ht="15.75" customHeight="1" x14ac:dyDescent="0.25">
      <c r="A91" s="6" t="s">
        <v>84</v>
      </c>
      <c r="B91" s="6" t="s">
        <v>167</v>
      </c>
      <c r="C91" s="6" t="s">
        <v>176</v>
      </c>
      <c r="D91" s="6" t="s">
        <v>85</v>
      </c>
      <c r="F91" s="7">
        <v>46156.714768518519</v>
      </c>
    </row>
    <row r="92" spans="1:6" ht="15.75" customHeight="1" x14ac:dyDescent="0.25">
      <c r="A92" s="6" t="s">
        <v>84</v>
      </c>
      <c r="B92" s="6" t="s">
        <v>167</v>
      </c>
      <c r="C92" s="6" t="s">
        <v>176</v>
      </c>
      <c r="D92" s="6" t="s">
        <v>85</v>
      </c>
      <c r="F92" s="7">
        <v>46156.714791666665</v>
      </c>
    </row>
    <row r="93" spans="1:6" ht="15.75" customHeight="1" x14ac:dyDescent="0.25">
      <c r="A93" s="6" t="s">
        <v>84</v>
      </c>
      <c r="B93" s="6" t="s">
        <v>167</v>
      </c>
      <c r="C93" s="6" t="s">
        <v>176</v>
      </c>
      <c r="D93" s="6" t="s">
        <v>85</v>
      </c>
      <c r="F93" s="7">
        <v>46156.714837962965</v>
      </c>
    </row>
    <row r="94" spans="1:6" ht="15.75" customHeight="1" x14ac:dyDescent="0.25">
      <c r="A94" s="6" t="s">
        <v>146</v>
      </c>
      <c r="B94" s="6" t="s">
        <v>167</v>
      </c>
      <c r="C94" s="6" t="s">
        <v>175</v>
      </c>
      <c r="D94" s="6" t="s">
        <v>85</v>
      </c>
      <c r="E94" s="6" t="s">
        <v>58</v>
      </c>
      <c r="F94" s="7">
        <v>46160.439444444448</v>
      </c>
    </row>
    <row r="95" spans="1:6" ht="15.75" customHeight="1" x14ac:dyDescent="0.25">
      <c r="A95" s="6" t="s">
        <v>84</v>
      </c>
      <c r="B95" s="6" t="s">
        <v>178</v>
      </c>
      <c r="C95" s="6" t="s">
        <v>181</v>
      </c>
      <c r="D95" s="6" t="s">
        <v>85</v>
      </c>
      <c r="F95" s="7">
        <v>46160.457442129627</v>
      </c>
    </row>
    <row r="96" spans="1:6" ht="15.75" customHeight="1" x14ac:dyDescent="0.25">
      <c r="A96" s="6" t="s">
        <v>84</v>
      </c>
      <c r="B96" s="6" t="s">
        <v>178</v>
      </c>
      <c r="C96" s="6" t="s">
        <v>181</v>
      </c>
      <c r="D96" s="6" t="s">
        <v>85</v>
      </c>
      <c r="F96" s="7">
        <v>46160.457465277781</v>
      </c>
    </row>
    <row r="97" spans="1:6" ht="15.75" customHeight="1" x14ac:dyDescent="0.25">
      <c r="A97" s="6" t="s">
        <v>84</v>
      </c>
      <c r="B97" s="6" t="s">
        <v>178</v>
      </c>
      <c r="C97" s="6" t="s">
        <v>181</v>
      </c>
      <c r="D97" s="6" t="s">
        <v>85</v>
      </c>
      <c r="F97" s="7">
        <v>46160.457476851851</v>
      </c>
    </row>
    <row r="98" spans="1:6" ht="15.75" customHeight="1" x14ac:dyDescent="0.25">
      <c r="A98" s="6" t="s">
        <v>84</v>
      </c>
      <c r="B98" s="6" t="s">
        <v>178</v>
      </c>
      <c r="C98" s="6" t="s">
        <v>181</v>
      </c>
      <c r="D98" s="6" t="s">
        <v>85</v>
      </c>
      <c r="F98" s="7">
        <v>46160.457499999997</v>
      </c>
    </row>
    <row r="99" spans="1:6" ht="15.75" customHeight="1" x14ac:dyDescent="0.25">
      <c r="A99" s="6" t="s">
        <v>84</v>
      </c>
      <c r="B99" s="6" t="s">
        <v>178</v>
      </c>
      <c r="C99" s="6" t="s">
        <v>181</v>
      </c>
      <c r="D99" s="6" t="s">
        <v>85</v>
      </c>
      <c r="F99" s="7">
        <v>46160.45753472222</v>
      </c>
    </row>
    <row r="100" spans="1:6" ht="15.75" customHeight="1" x14ac:dyDescent="0.25">
      <c r="A100" s="6" t="s">
        <v>136</v>
      </c>
      <c r="B100" s="6" t="s">
        <v>178</v>
      </c>
      <c r="C100" s="6" t="s">
        <v>179</v>
      </c>
      <c r="D100" s="6" t="s">
        <v>85</v>
      </c>
      <c r="E100" s="6" t="s">
        <v>52</v>
      </c>
      <c r="F100" s="7">
        <v>46160.457650462966</v>
      </c>
    </row>
    <row r="101" spans="1:6" ht="15.75" customHeight="1" x14ac:dyDescent="0.25">
      <c r="A101" s="6" t="s">
        <v>100</v>
      </c>
      <c r="B101" s="6" t="s">
        <v>178</v>
      </c>
      <c r="C101" s="6" t="s">
        <v>179</v>
      </c>
      <c r="D101" s="6" t="s">
        <v>85</v>
      </c>
      <c r="E101" s="6" t="s">
        <v>53</v>
      </c>
      <c r="F101" s="7">
        <v>46160.457673611112</v>
      </c>
    </row>
    <row r="102" spans="1:6" ht="15.75" customHeight="1" x14ac:dyDescent="0.25">
      <c r="A102" s="6" t="s">
        <v>84</v>
      </c>
      <c r="B102" s="6" t="s">
        <v>178</v>
      </c>
      <c r="C102" s="6" t="s">
        <v>180</v>
      </c>
      <c r="D102" s="6" t="s">
        <v>85</v>
      </c>
      <c r="F102" s="7">
        <v>46160.457743055558</v>
      </c>
    </row>
    <row r="103" spans="1:6" ht="15.75" customHeight="1" x14ac:dyDescent="0.25">
      <c r="A103" s="6" t="s">
        <v>84</v>
      </c>
      <c r="B103" s="6" t="s">
        <v>178</v>
      </c>
      <c r="C103" s="6" t="s">
        <v>180</v>
      </c>
      <c r="D103" s="6" t="s">
        <v>85</v>
      </c>
      <c r="F103" s="7">
        <v>46160.457824074074</v>
      </c>
    </row>
    <row r="104" spans="1:6" ht="15.75" customHeight="1" x14ac:dyDescent="0.25">
      <c r="A104" s="6" t="s">
        <v>84</v>
      </c>
      <c r="B104" s="6" t="s">
        <v>178</v>
      </c>
      <c r="C104" s="6" t="s">
        <v>180</v>
      </c>
      <c r="D104" s="6" t="s">
        <v>85</v>
      </c>
      <c r="F104" s="7">
        <v>46160.457858796297</v>
      </c>
    </row>
    <row r="105" spans="1:6" ht="15.75" customHeight="1" x14ac:dyDescent="0.25">
      <c r="A105" s="6" t="s">
        <v>84</v>
      </c>
      <c r="B105" s="6" t="s">
        <v>178</v>
      </c>
      <c r="C105" s="6" t="s">
        <v>180</v>
      </c>
      <c r="D105" s="6" t="s">
        <v>85</v>
      </c>
      <c r="F105" s="7">
        <v>46160.45789351852</v>
      </c>
    </row>
    <row r="106" spans="1:6" ht="15.75" customHeight="1" x14ac:dyDescent="0.25">
      <c r="A106" s="6" t="s">
        <v>84</v>
      </c>
      <c r="B106" s="6" t="s">
        <v>182</v>
      </c>
      <c r="C106" s="6" t="s">
        <v>186</v>
      </c>
      <c r="D106" s="6" t="s">
        <v>85</v>
      </c>
      <c r="F106" s="7">
        <v>46160.465567129628</v>
      </c>
    </row>
    <row r="107" spans="1:6" ht="15.75" customHeight="1" x14ac:dyDescent="0.25">
      <c r="A107" s="6" t="s">
        <v>84</v>
      </c>
      <c r="B107" s="6" t="s">
        <v>182</v>
      </c>
      <c r="C107" s="6" t="s">
        <v>186</v>
      </c>
      <c r="D107" s="6" t="s">
        <v>85</v>
      </c>
      <c r="F107" s="7">
        <v>46160.465590277781</v>
      </c>
    </row>
    <row r="108" spans="1:6" ht="15.75" customHeight="1" x14ac:dyDescent="0.25">
      <c r="A108" s="6" t="s">
        <v>84</v>
      </c>
      <c r="B108" s="6" t="s">
        <v>182</v>
      </c>
      <c r="C108" s="6" t="s">
        <v>186</v>
      </c>
      <c r="D108" s="6" t="s">
        <v>85</v>
      </c>
      <c r="F108" s="7">
        <v>46160.465624999997</v>
      </c>
    </row>
    <row r="109" spans="1:6" ht="15.75" customHeight="1" x14ac:dyDescent="0.25">
      <c r="A109" s="6" t="s">
        <v>84</v>
      </c>
      <c r="B109" s="6" t="s">
        <v>182</v>
      </c>
      <c r="C109" s="6" t="s">
        <v>186</v>
      </c>
      <c r="D109" s="6" t="s">
        <v>85</v>
      </c>
      <c r="F109" s="7">
        <v>46160.46565972222</v>
      </c>
    </row>
    <row r="110" spans="1:6" ht="15.75" customHeight="1" x14ac:dyDescent="0.25">
      <c r="A110" s="6" t="s">
        <v>136</v>
      </c>
      <c r="B110" s="6" t="s">
        <v>182</v>
      </c>
      <c r="C110" s="6" t="s">
        <v>183</v>
      </c>
      <c r="D110" s="6" t="s">
        <v>85</v>
      </c>
      <c r="E110" s="6" t="s">
        <v>52</v>
      </c>
      <c r="F110" s="7">
        <v>46160.465787037036</v>
      </c>
    </row>
    <row r="111" spans="1:6" ht="15.75" customHeight="1" x14ac:dyDescent="0.25">
      <c r="A111" s="6" t="s">
        <v>100</v>
      </c>
      <c r="B111" s="6" t="s">
        <v>182</v>
      </c>
      <c r="C111" s="6" t="s">
        <v>183</v>
      </c>
      <c r="D111" s="6" t="s">
        <v>85</v>
      </c>
      <c r="E111" s="6" t="s">
        <v>53</v>
      </c>
      <c r="F111" s="7">
        <v>46160.465810185182</v>
      </c>
    </row>
    <row r="112" spans="1:6" ht="15.75" customHeight="1" x14ac:dyDescent="0.25">
      <c r="A112" s="6" t="s">
        <v>139</v>
      </c>
      <c r="B112" s="6" t="s">
        <v>182</v>
      </c>
      <c r="C112" s="6" t="s">
        <v>183</v>
      </c>
      <c r="D112" s="6" t="s">
        <v>85</v>
      </c>
      <c r="E112" s="6" t="s">
        <v>54</v>
      </c>
      <c r="F112" s="7">
        <v>46160.465833333335</v>
      </c>
    </row>
    <row r="113" spans="1:6" ht="15.75" customHeight="1" x14ac:dyDescent="0.25">
      <c r="A113" s="6" t="s">
        <v>84</v>
      </c>
      <c r="B113" s="6" t="s">
        <v>182</v>
      </c>
      <c r="C113" s="6" t="s">
        <v>184</v>
      </c>
      <c r="D113" s="6" t="s">
        <v>85</v>
      </c>
      <c r="F113" s="7">
        <v>46160.465960648151</v>
      </c>
    </row>
    <row r="114" spans="1:6" ht="15.75" customHeight="1" x14ac:dyDescent="0.25">
      <c r="A114" s="6" t="s">
        <v>84</v>
      </c>
      <c r="B114" s="6" t="s">
        <v>182</v>
      </c>
      <c r="C114" s="6" t="s">
        <v>184</v>
      </c>
      <c r="D114" s="6" t="s">
        <v>85</v>
      </c>
      <c r="F114" s="7">
        <v>46160.465995370374</v>
      </c>
    </row>
    <row r="115" spans="1:6" ht="15.75" customHeight="1" x14ac:dyDescent="0.25">
      <c r="A115" s="6" t="s">
        <v>84</v>
      </c>
      <c r="B115" s="6" t="s">
        <v>182</v>
      </c>
      <c r="C115" s="6" t="s">
        <v>185</v>
      </c>
      <c r="D115" s="6" t="s">
        <v>85</v>
      </c>
      <c r="F115" s="7">
        <v>46160.466122685182</v>
      </c>
    </row>
    <row r="116" spans="1:6" ht="15.75" customHeight="1" x14ac:dyDescent="0.25">
      <c r="A116" s="6" t="s">
        <v>84</v>
      </c>
      <c r="B116" s="6" t="s">
        <v>182</v>
      </c>
      <c r="C116" s="6" t="s">
        <v>185</v>
      </c>
      <c r="D116" s="6" t="s">
        <v>85</v>
      </c>
      <c r="F116" s="7">
        <v>46160.466168981482</v>
      </c>
    </row>
    <row r="117" spans="1:6" ht="15.75" customHeight="1" x14ac:dyDescent="0.25">
      <c r="A117" s="6" t="s">
        <v>84</v>
      </c>
      <c r="B117" s="6" t="s">
        <v>182</v>
      </c>
      <c r="C117" s="6" t="s">
        <v>185</v>
      </c>
      <c r="D117" s="6" t="s">
        <v>85</v>
      </c>
      <c r="F117" s="7">
        <v>46160.466203703705</v>
      </c>
    </row>
    <row r="118" spans="1:6" ht="15.75" customHeight="1" x14ac:dyDescent="0.25">
      <c r="A118" s="6" t="s">
        <v>84</v>
      </c>
      <c r="B118" s="6" t="s">
        <v>182</v>
      </c>
      <c r="C118" s="6" t="s">
        <v>185</v>
      </c>
      <c r="D118" s="6" t="s">
        <v>85</v>
      </c>
      <c r="F118" s="7">
        <v>46160.466238425928</v>
      </c>
    </row>
    <row r="119" spans="1:6" ht="15.75" customHeight="1" x14ac:dyDescent="0.25">
      <c r="A119" s="6" t="s">
        <v>84</v>
      </c>
      <c r="B119" s="6" t="s">
        <v>187</v>
      </c>
      <c r="C119" s="6" t="s">
        <v>190</v>
      </c>
      <c r="D119" s="6" t="s">
        <v>85</v>
      </c>
      <c r="F119" s="7">
        <v>46160.475081018521</v>
      </c>
    </row>
    <row r="120" spans="1:6" ht="15.75" customHeight="1" x14ac:dyDescent="0.25">
      <c r="A120" s="6" t="s">
        <v>84</v>
      </c>
      <c r="B120" s="6" t="s">
        <v>187</v>
      </c>
      <c r="C120" s="6" t="s">
        <v>190</v>
      </c>
      <c r="D120" s="6" t="s">
        <v>85</v>
      </c>
      <c r="F120" s="7">
        <v>46160.475127314814</v>
      </c>
    </row>
    <row r="121" spans="1:6" ht="15.75" customHeight="1" x14ac:dyDescent="0.25">
      <c r="A121" s="6" t="s">
        <v>84</v>
      </c>
      <c r="B121" s="6" t="s">
        <v>187</v>
      </c>
      <c r="C121" s="6" t="s">
        <v>190</v>
      </c>
      <c r="D121" s="6" t="s">
        <v>85</v>
      </c>
      <c r="F121" s="7">
        <v>46160.47519675926</v>
      </c>
    </row>
    <row r="122" spans="1:6" ht="15.75" customHeight="1" x14ac:dyDescent="0.25">
      <c r="A122" s="6" t="s">
        <v>136</v>
      </c>
      <c r="B122" s="6" t="s">
        <v>187</v>
      </c>
      <c r="C122" s="6" t="s">
        <v>188</v>
      </c>
      <c r="D122" s="6" t="s">
        <v>85</v>
      </c>
      <c r="E122" s="6" t="s">
        <v>52</v>
      </c>
      <c r="F122" s="7">
        <v>46160.475289351853</v>
      </c>
    </row>
    <row r="123" spans="1:6" ht="15.75" customHeight="1" x14ac:dyDescent="0.25">
      <c r="A123" s="6" t="s">
        <v>100</v>
      </c>
      <c r="B123" s="6" t="s">
        <v>187</v>
      </c>
      <c r="C123" s="6" t="s">
        <v>188</v>
      </c>
      <c r="D123" s="6" t="s">
        <v>85</v>
      </c>
      <c r="E123" s="6" t="s">
        <v>53</v>
      </c>
      <c r="F123" s="7">
        <v>46160.475300925929</v>
      </c>
    </row>
    <row r="124" spans="1:6" ht="15.75" customHeight="1" x14ac:dyDescent="0.25">
      <c r="A124" s="6" t="s">
        <v>84</v>
      </c>
      <c r="B124" s="6" t="s">
        <v>187</v>
      </c>
      <c r="C124" s="6" t="s">
        <v>189</v>
      </c>
      <c r="D124" s="6" t="s">
        <v>85</v>
      </c>
      <c r="F124" s="7">
        <v>46160.475393518522</v>
      </c>
    </row>
    <row r="125" spans="1:6" ht="15.75" customHeight="1" x14ac:dyDescent="0.25">
      <c r="A125" s="6" t="s">
        <v>84</v>
      </c>
      <c r="B125" s="6" t="s">
        <v>187</v>
      </c>
      <c r="C125" s="6" t="s">
        <v>189</v>
      </c>
      <c r="D125" s="6" t="s">
        <v>85</v>
      </c>
      <c r="F125" s="7">
        <v>46160.475474537037</v>
      </c>
    </row>
    <row r="126" spans="1:6" ht="15.75" customHeight="1" x14ac:dyDescent="0.25">
      <c r="A126" s="6" t="s">
        <v>84</v>
      </c>
      <c r="B126" s="6" t="s">
        <v>187</v>
      </c>
      <c r="C126" s="6" t="s">
        <v>189</v>
      </c>
      <c r="D126" s="6" t="s">
        <v>85</v>
      </c>
      <c r="F126" s="7">
        <v>46160.475555555553</v>
      </c>
    </row>
    <row r="127" spans="1:6" ht="15.75" customHeight="1" x14ac:dyDescent="0.25">
      <c r="A127" s="6" t="s">
        <v>84</v>
      </c>
      <c r="B127" s="6" t="s">
        <v>187</v>
      </c>
      <c r="C127" s="6" t="s">
        <v>189</v>
      </c>
      <c r="D127" s="6" t="s">
        <v>85</v>
      </c>
      <c r="F127" s="7">
        <v>46160.475578703707</v>
      </c>
    </row>
    <row r="128" spans="1:6" ht="15.75" customHeight="1" x14ac:dyDescent="0.25">
      <c r="A128" s="6" t="s">
        <v>84</v>
      </c>
      <c r="B128" s="6" t="s">
        <v>187</v>
      </c>
      <c r="C128" s="6" t="s">
        <v>189</v>
      </c>
      <c r="D128" s="6" t="s">
        <v>85</v>
      </c>
      <c r="F128" s="7">
        <v>46160.475613425922</v>
      </c>
    </row>
    <row r="129" spans="1:6" ht="15.75" customHeight="1" x14ac:dyDescent="0.25">
      <c r="A129" s="6" t="s">
        <v>84</v>
      </c>
      <c r="B129" s="6" t="s">
        <v>191</v>
      </c>
      <c r="C129" s="6" t="s">
        <v>195</v>
      </c>
      <c r="D129" s="6" t="s">
        <v>85</v>
      </c>
      <c r="F129" s="7">
        <v>46160.476458333331</v>
      </c>
    </row>
    <row r="130" spans="1:6" ht="15.75" customHeight="1" x14ac:dyDescent="0.25">
      <c r="A130" s="6" t="s">
        <v>84</v>
      </c>
      <c r="B130" s="6" t="s">
        <v>191</v>
      </c>
      <c r="C130" s="6" t="s">
        <v>195</v>
      </c>
      <c r="D130" s="6" t="s">
        <v>85</v>
      </c>
      <c r="F130" s="7">
        <v>46160.476481481484</v>
      </c>
    </row>
    <row r="131" spans="1:6" ht="15.75" customHeight="1" x14ac:dyDescent="0.25">
      <c r="A131" s="6" t="s">
        <v>84</v>
      </c>
      <c r="B131" s="6" t="s">
        <v>191</v>
      </c>
      <c r="C131" s="6" t="s">
        <v>195</v>
      </c>
      <c r="D131" s="6" t="s">
        <v>85</v>
      </c>
      <c r="F131" s="7">
        <v>46160.4765625</v>
      </c>
    </row>
    <row r="132" spans="1:6" ht="15.75" customHeight="1" x14ac:dyDescent="0.25">
      <c r="A132" s="6" t="s">
        <v>136</v>
      </c>
      <c r="B132" s="6" t="s">
        <v>191</v>
      </c>
      <c r="C132" s="6" t="s">
        <v>192</v>
      </c>
      <c r="D132" s="6" t="s">
        <v>85</v>
      </c>
      <c r="E132" s="6" t="s">
        <v>52</v>
      </c>
      <c r="F132" s="7">
        <v>46160.476655092592</v>
      </c>
    </row>
    <row r="133" spans="1:6" ht="15.75" customHeight="1" x14ac:dyDescent="0.25">
      <c r="A133" s="6" t="s">
        <v>100</v>
      </c>
      <c r="B133" s="6" t="s">
        <v>191</v>
      </c>
      <c r="C133" s="6" t="s">
        <v>192</v>
      </c>
      <c r="D133" s="6" t="s">
        <v>85</v>
      </c>
      <c r="E133" s="6" t="s">
        <v>53</v>
      </c>
      <c r="F133" s="7">
        <v>46160.476678240739</v>
      </c>
    </row>
    <row r="134" spans="1:6" ht="15.75" customHeight="1" x14ac:dyDescent="0.25">
      <c r="A134" s="6" t="s">
        <v>84</v>
      </c>
      <c r="B134" s="6" t="s">
        <v>191</v>
      </c>
      <c r="C134" s="6" t="s">
        <v>193</v>
      </c>
      <c r="D134" s="6" t="s">
        <v>85</v>
      </c>
      <c r="F134" s="7">
        <v>46160.476770833331</v>
      </c>
    </row>
    <row r="135" spans="1:6" ht="15.75" customHeight="1" x14ac:dyDescent="0.25">
      <c r="A135" s="6" t="s">
        <v>84</v>
      </c>
      <c r="B135" s="6" t="s">
        <v>191</v>
      </c>
      <c r="C135" s="6" t="s">
        <v>193</v>
      </c>
      <c r="D135" s="6" t="s">
        <v>85</v>
      </c>
      <c r="F135" s="7">
        <v>46160.476782407408</v>
      </c>
    </row>
    <row r="136" spans="1:6" ht="15.75" customHeight="1" x14ac:dyDescent="0.25">
      <c r="A136" s="6" t="s">
        <v>84</v>
      </c>
      <c r="B136" s="6" t="s">
        <v>191</v>
      </c>
      <c r="C136" s="6" t="s">
        <v>193</v>
      </c>
      <c r="D136" s="6" t="s">
        <v>85</v>
      </c>
      <c r="F136" s="7">
        <v>46160.476840277777</v>
      </c>
    </row>
    <row r="137" spans="1:6" ht="15.75" customHeight="1" x14ac:dyDescent="0.25">
      <c r="A137" s="6" t="s">
        <v>84</v>
      </c>
      <c r="B137" s="6" t="s">
        <v>191</v>
      </c>
      <c r="C137" s="6" t="s">
        <v>193</v>
      </c>
      <c r="D137" s="6" t="s">
        <v>85</v>
      </c>
      <c r="F137" s="7">
        <v>46160.476875</v>
      </c>
    </row>
    <row r="138" spans="1:6" ht="15.75" customHeight="1" x14ac:dyDescent="0.25">
      <c r="A138" s="6" t="s">
        <v>84</v>
      </c>
      <c r="B138" s="6" t="s">
        <v>191</v>
      </c>
      <c r="C138" s="6" t="s">
        <v>194</v>
      </c>
      <c r="D138" s="6" t="s">
        <v>85</v>
      </c>
      <c r="F138" s="7">
        <v>46160.476990740739</v>
      </c>
    </row>
    <row r="139" spans="1:6" ht="15.75" customHeight="1" x14ac:dyDescent="0.25">
      <c r="A139" s="6" t="s">
        <v>84</v>
      </c>
      <c r="B139" s="6" t="s">
        <v>191</v>
      </c>
      <c r="C139" s="6" t="s">
        <v>194</v>
      </c>
      <c r="D139" s="6" t="s">
        <v>85</v>
      </c>
      <c r="F139" s="7">
        <v>46160.477048611108</v>
      </c>
    </row>
    <row r="140" spans="1:6" ht="15.75" customHeight="1" x14ac:dyDescent="0.25">
      <c r="A140" s="6" t="s">
        <v>84</v>
      </c>
      <c r="B140" s="6" t="s">
        <v>191</v>
      </c>
      <c r="C140" s="6" t="s">
        <v>194</v>
      </c>
      <c r="D140" s="6" t="s">
        <v>85</v>
      </c>
      <c r="F140" s="7">
        <v>46160.477071759262</v>
      </c>
    </row>
    <row r="141" spans="1:6" ht="15.75" customHeight="1" x14ac:dyDescent="0.25">
      <c r="A141" s="6" t="s">
        <v>84</v>
      </c>
      <c r="B141" s="6" t="s">
        <v>191</v>
      </c>
      <c r="C141" s="6" t="s">
        <v>194</v>
      </c>
      <c r="D141" s="6" t="s">
        <v>85</v>
      </c>
      <c r="F141" s="7">
        <v>46160.477094907408</v>
      </c>
    </row>
    <row r="142" spans="1:6" ht="15.75" customHeight="1" x14ac:dyDescent="0.25">
      <c r="A142" s="6" t="s">
        <v>138</v>
      </c>
      <c r="B142" s="6" t="s">
        <v>182</v>
      </c>
      <c r="C142" s="6" t="s">
        <v>183</v>
      </c>
      <c r="D142" s="6" t="s">
        <v>85</v>
      </c>
      <c r="E142" s="6" t="s">
        <v>55</v>
      </c>
      <c r="F142" s="7">
        <v>46160.551851851851</v>
      </c>
    </row>
    <row r="143" spans="1:6" ht="15.75" customHeight="1" x14ac:dyDescent="0.25">
      <c r="A143" s="6" t="s">
        <v>135</v>
      </c>
      <c r="B143" s="6" t="s">
        <v>182</v>
      </c>
      <c r="C143" s="6" t="s">
        <v>183</v>
      </c>
      <c r="D143" s="6" t="s">
        <v>85</v>
      </c>
      <c r="E143" s="6" t="s">
        <v>56</v>
      </c>
      <c r="F143" s="7">
        <v>46160.553113425929</v>
      </c>
    </row>
    <row r="144" spans="1:6" ht="15.75" customHeight="1" x14ac:dyDescent="0.25">
      <c r="A144" s="6" t="s">
        <v>137</v>
      </c>
      <c r="B144" s="6" t="s">
        <v>182</v>
      </c>
      <c r="C144" s="6" t="s">
        <v>183</v>
      </c>
      <c r="D144" s="6" t="s">
        <v>85</v>
      </c>
      <c r="E144" s="6" t="s">
        <v>57</v>
      </c>
      <c r="F144" s="7">
        <v>46160.553263888891</v>
      </c>
    </row>
    <row r="145" spans="1:6" ht="15.75" customHeight="1" x14ac:dyDescent="0.25">
      <c r="A145" s="6" t="s">
        <v>138</v>
      </c>
      <c r="B145" s="6" t="s">
        <v>196</v>
      </c>
      <c r="C145" s="6" t="s">
        <v>197</v>
      </c>
      <c r="D145" s="6" t="s">
        <v>85</v>
      </c>
      <c r="E145" s="6" t="s">
        <v>55</v>
      </c>
      <c r="F145" s="7">
        <v>46160.566550925927</v>
      </c>
    </row>
    <row r="146" spans="1:6" ht="15.75" customHeight="1" x14ac:dyDescent="0.25">
      <c r="A146" s="6" t="s">
        <v>139</v>
      </c>
      <c r="B146" s="6" t="s">
        <v>196</v>
      </c>
      <c r="C146" s="6" t="s">
        <v>197</v>
      </c>
      <c r="D146" s="6" t="s">
        <v>85</v>
      </c>
      <c r="E146" s="6" t="s">
        <v>54</v>
      </c>
      <c r="F146" s="7">
        <v>46160.56658564815</v>
      </c>
    </row>
    <row r="147" spans="1:6" ht="15.75" customHeight="1" x14ac:dyDescent="0.25">
      <c r="A147" s="6" t="s">
        <v>100</v>
      </c>
      <c r="B147" s="6" t="s">
        <v>196</v>
      </c>
      <c r="C147" s="6" t="s">
        <v>197</v>
      </c>
      <c r="D147" s="6" t="s">
        <v>85</v>
      </c>
      <c r="E147" s="6" t="s">
        <v>53</v>
      </c>
      <c r="F147" s="7">
        <v>46160.566608796296</v>
      </c>
    </row>
    <row r="148" spans="1:6" ht="15.75" customHeight="1" x14ac:dyDescent="0.25">
      <c r="A148" s="6" t="s">
        <v>201</v>
      </c>
      <c r="B148" s="6" t="s">
        <v>199</v>
      </c>
      <c r="C148" s="6" t="s">
        <v>200</v>
      </c>
      <c r="D148" s="6" t="s">
        <v>85</v>
      </c>
      <c r="E148" s="6" t="s">
        <v>66</v>
      </c>
      <c r="F148" s="7">
        <v>46160.57230324074</v>
      </c>
    </row>
    <row r="149" spans="1:6" ht="15.75" customHeight="1" x14ac:dyDescent="0.25">
      <c r="A149" s="6" t="s">
        <v>201</v>
      </c>
      <c r="B149" s="6" t="s">
        <v>199</v>
      </c>
      <c r="C149" s="6" t="s">
        <v>200</v>
      </c>
      <c r="D149" s="6" t="s">
        <v>85</v>
      </c>
      <c r="E149" s="6" t="s">
        <v>66</v>
      </c>
      <c r="F149" s="7">
        <v>46160.57234953704</v>
      </c>
    </row>
    <row r="150" spans="1:6" ht="15.75" customHeight="1" x14ac:dyDescent="0.25">
      <c r="A150" s="6" t="s">
        <v>139</v>
      </c>
      <c r="B150" s="6" t="s">
        <v>199</v>
      </c>
      <c r="C150" s="6" t="s">
        <v>200</v>
      </c>
      <c r="D150" s="6" t="s">
        <v>85</v>
      </c>
      <c r="E150" s="6" t="s">
        <v>54</v>
      </c>
      <c r="F150" s="7">
        <v>46160.572430555556</v>
      </c>
    </row>
    <row r="151" spans="1:6" ht="15.75" customHeight="1" x14ac:dyDescent="0.25">
      <c r="A151" s="6" t="s">
        <v>201</v>
      </c>
      <c r="B151" s="6" t="s">
        <v>51</v>
      </c>
      <c r="C151" s="6" t="s">
        <v>202</v>
      </c>
      <c r="D151" s="6" t="s">
        <v>85</v>
      </c>
      <c r="E151" s="6" t="s">
        <v>66</v>
      </c>
      <c r="F151" s="7">
        <v>46160.590208333335</v>
      </c>
    </row>
    <row r="152" spans="1:6" ht="15.75" customHeight="1" x14ac:dyDescent="0.25">
      <c r="A152" s="6" t="s">
        <v>203</v>
      </c>
      <c r="B152" s="6" t="s">
        <v>51</v>
      </c>
      <c r="C152" s="6" t="s">
        <v>202</v>
      </c>
      <c r="D152" s="6" t="s">
        <v>85</v>
      </c>
      <c r="E152" s="6" t="s">
        <v>62</v>
      </c>
      <c r="F152" s="7">
        <v>46160.590208333335</v>
      </c>
    </row>
    <row r="153" spans="1:6" ht="15.75" customHeight="1" x14ac:dyDescent="0.25">
      <c r="A153" s="6" t="s">
        <v>150</v>
      </c>
      <c r="B153" s="6" t="s">
        <v>51</v>
      </c>
      <c r="C153" s="6" t="s">
        <v>202</v>
      </c>
      <c r="D153" s="6" t="s">
        <v>85</v>
      </c>
      <c r="E153" s="6" t="s">
        <v>61</v>
      </c>
      <c r="F153" s="7">
        <v>46160.590208333335</v>
      </c>
    </row>
    <row r="154" spans="1:6" ht="15.75" customHeight="1" x14ac:dyDescent="0.25">
      <c r="A154" s="6" t="s">
        <v>174</v>
      </c>
      <c r="B154" s="6" t="s">
        <v>51</v>
      </c>
      <c r="C154" s="6" t="s">
        <v>202</v>
      </c>
      <c r="D154" s="6" t="s">
        <v>85</v>
      </c>
      <c r="E154" s="6" t="s">
        <v>65</v>
      </c>
      <c r="F154" s="7">
        <v>46160.590219907404</v>
      </c>
    </row>
    <row r="155" spans="1:6" ht="15.75" customHeight="1" x14ac:dyDescent="0.25">
      <c r="A155" s="6" t="s">
        <v>204</v>
      </c>
      <c r="B155" s="6" t="s">
        <v>51</v>
      </c>
      <c r="C155" s="6" t="s">
        <v>202</v>
      </c>
      <c r="D155" s="6" t="s">
        <v>85</v>
      </c>
      <c r="E155" s="6" t="s">
        <v>68</v>
      </c>
      <c r="F155" s="7">
        <v>46160.590254629627</v>
      </c>
    </row>
    <row r="156" spans="1:6" ht="15.75" customHeight="1" x14ac:dyDescent="0.25">
      <c r="A156" s="6" t="s">
        <v>207</v>
      </c>
      <c r="B156" s="6" t="s">
        <v>205</v>
      </c>
      <c r="C156" s="6" t="s">
        <v>206</v>
      </c>
      <c r="D156" s="6" t="s">
        <v>85</v>
      </c>
      <c r="E156" s="6" t="s">
        <v>63</v>
      </c>
      <c r="F156" s="7">
        <v>46160.597592592596</v>
      </c>
    </row>
    <row r="157" spans="1:6" ht="15.75" customHeight="1" x14ac:dyDescent="0.25">
      <c r="A157" s="6" t="s">
        <v>174</v>
      </c>
      <c r="B157" s="6" t="s">
        <v>182</v>
      </c>
      <c r="C157" s="6" t="s">
        <v>183</v>
      </c>
      <c r="D157" s="6" t="s">
        <v>85</v>
      </c>
      <c r="E157" s="6" t="s">
        <v>65</v>
      </c>
      <c r="F157" s="7">
        <v>46160.699502314812</v>
      </c>
    </row>
    <row r="158" spans="1:6" ht="15.75" customHeight="1" x14ac:dyDescent="0.25">
      <c r="A158" s="6" t="s">
        <v>150</v>
      </c>
      <c r="B158" s="6" t="s">
        <v>205</v>
      </c>
      <c r="C158" s="6" t="s">
        <v>222</v>
      </c>
      <c r="D158" s="6" t="s">
        <v>85</v>
      </c>
      <c r="E158" s="6" t="s">
        <v>61</v>
      </c>
      <c r="F158" s="7">
        <v>46160.733368055553</v>
      </c>
    </row>
    <row r="159" spans="1:6" ht="15.75" customHeight="1" x14ac:dyDescent="0.25">
      <c r="A159" s="6" t="s">
        <v>135</v>
      </c>
      <c r="B159" s="6" t="s">
        <v>205</v>
      </c>
      <c r="C159" s="6" t="s">
        <v>222</v>
      </c>
      <c r="D159" s="6" t="s">
        <v>85</v>
      </c>
      <c r="E159" s="6" t="s">
        <v>56</v>
      </c>
      <c r="F159" s="7">
        <v>46160.73337962963</v>
      </c>
    </row>
    <row r="160" spans="1:6" ht="15.75" customHeight="1" x14ac:dyDescent="0.25">
      <c r="A160" s="6" t="s">
        <v>84</v>
      </c>
      <c r="B160" s="6" t="s">
        <v>205</v>
      </c>
      <c r="C160" s="6" t="s">
        <v>223</v>
      </c>
      <c r="D160" s="6" t="s">
        <v>85</v>
      </c>
      <c r="F160" s="7">
        <v>46160.733425925922</v>
      </c>
    </row>
    <row r="161" spans="1:6" ht="15.75" customHeight="1" x14ac:dyDescent="0.25">
      <c r="A161" s="6" t="s">
        <v>84</v>
      </c>
      <c r="B161" s="6" t="s">
        <v>205</v>
      </c>
      <c r="C161" s="6" t="s">
        <v>223</v>
      </c>
      <c r="D161" s="6" t="s">
        <v>85</v>
      </c>
      <c r="F161" s="7">
        <v>46160.733437499999</v>
      </c>
    </row>
    <row r="162" spans="1:6" ht="15.75" customHeight="1" x14ac:dyDescent="0.25">
      <c r="A162" s="6" t="s">
        <v>84</v>
      </c>
      <c r="B162" s="6" t="s">
        <v>205</v>
      </c>
      <c r="C162" s="6" t="s">
        <v>223</v>
      </c>
      <c r="D162" s="6" t="s">
        <v>85</v>
      </c>
      <c r="F162" s="7">
        <v>46160.733437499999</v>
      </c>
    </row>
    <row r="163" spans="1:6" ht="15.75" customHeight="1" x14ac:dyDescent="0.25">
      <c r="A163" s="6" t="s">
        <v>84</v>
      </c>
      <c r="B163" s="6" t="s">
        <v>205</v>
      </c>
      <c r="C163" s="6" t="s">
        <v>223</v>
      </c>
      <c r="D163" s="6" t="s">
        <v>85</v>
      </c>
      <c r="F163" s="7">
        <v>46160.733437499999</v>
      </c>
    </row>
    <row r="164" spans="1:6" ht="15.75" customHeight="1" x14ac:dyDescent="0.25">
      <c r="A164" s="6" t="s">
        <v>84</v>
      </c>
      <c r="B164" s="6" t="s">
        <v>205</v>
      </c>
      <c r="C164" s="6" t="s">
        <v>223</v>
      </c>
      <c r="D164" s="6" t="s">
        <v>85</v>
      </c>
      <c r="F164" s="7">
        <v>46160.733449074076</v>
      </c>
    </row>
    <row r="165" spans="1:6" ht="15.75" customHeight="1" x14ac:dyDescent="0.25">
      <c r="A165" s="6" t="s">
        <v>84</v>
      </c>
      <c r="B165" s="6" t="s">
        <v>205</v>
      </c>
      <c r="C165" s="6" t="s">
        <v>223</v>
      </c>
      <c r="D165" s="6" t="s">
        <v>85</v>
      </c>
      <c r="F165" s="7">
        <v>46160.733449074076</v>
      </c>
    </row>
    <row r="166" spans="1:6" ht="15.75" customHeight="1" x14ac:dyDescent="0.25">
      <c r="A166" s="6" t="s">
        <v>84</v>
      </c>
      <c r="B166" s="6" t="s">
        <v>205</v>
      </c>
      <c r="C166" s="6" t="s">
        <v>223</v>
      </c>
      <c r="D166" s="6" t="s">
        <v>85</v>
      </c>
      <c r="F166" s="7">
        <v>46160.733495370368</v>
      </c>
    </row>
    <row r="167" spans="1:6" ht="15.75" customHeight="1" x14ac:dyDescent="0.25">
      <c r="A167" s="6" t="s">
        <v>136</v>
      </c>
      <c r="B167" s="6" t="s">
        <v>224</v>
      </c>
      <c r="C167" s="6" t="s">
        <v>225</v>
      </c>
      <c r="D167" s="6" t="s">
        <v>85</v>
      </c>
      <c r="E167" s="6" t="s">
        <v>52</v>
      </c>
      <c r="F167" s="7">
        <v>46160.737962962965</v>
      </c>
    </row>
    <row r="168" spans="1:6" ht="15.75" customHeight="1" x14ac:dyDescent="0.25">
      <c r="A168" s="6" t="s">
        <v>138</v>
      </c>
      <c r="B168" s="6" t="s">
        <v>224</v>
      </c>
      <c r="C168" s="6" t="s">
        <v>225</v>
      </c>
      <c r="D168" s="6" t="s">
        <v>85</v>
      </c>
      <c r="E168" s="6" t="s">
        <v>55</v>
      </c>
      <c r="F168" s="7">
        <v>46160.737974537034</v>
      </c>
    </row>
    <row r="169" spans="1:6" ht="15.75" customHeight="1" x14ac:dyDescent="0.25">
      <c r="A169" s="6" t="s">
        <v>100</v>
      </c>
      <c r="B169" s="6" t="s">
        <v>224</v>
      </c>
      <c r="C169" s="6" t="s">
        <v>225</v>
      </c>
      <c r="D169" s="6" t="s">
        <v>85</v>
      </c>
      <c r="E169" s="6" t="s">
        <v>53</v>
      </c>
      <c r="F169" s="7">
        <v>46160.737974537034</v>
      </c>
    </row>
    <row r="170" spans="1:6" ht="15.75" customHeight="1" x14ac:dyDescent="0.25">
      <c r="A170" s="6" t="s">
        <v>139</v>
      </c>
      <c r="B170" s="6" t="s">
        <v>224</v>
      </c>
      <c r="C170" s="6" t="s">
        <v>225</v>
      </c>
      <c r="D170" s="6" t="s">
        <v>85</v>
      </c>
      <c r="E170" s="6" t="s">
        <v>54</v>
      </c>
      <c r="F170" s="7">
        <v>46160.737997685188</v>
      </c>
    </row>
    <row r="171" spans="1:6" ht="15.75" customHeight="1" x14ac:dyDescent="0.25">
      <c r="A171" s="6" t="s">
        <v>201</v>
      </c>
      <c r="B171" s="6" t="s">
        <v>51</v>
      </c>
      <c r="C171" s="6" t="s">
        <v>226</v>
      </c>
      <c r="D171" s="6" t="s">
        <v>85</v>
      </c>
      <c r="E171" s="6" t="s">
        <v>66</v>
      </c>
      <c r="F171" s="7">
        <v>46161.310648148145</v>
      </c>
    </row>
    <row r="172" spans="1:6" ht="15.75" customHeight="1" x14ac:dyDescent="0.25">
      <c r="A172" s="6" t="s">
        <v>207</v>
      </c>
      <c r="B172" s="6" t="s">
        <v>51</v>
      </c>
      <c r="C172" s="6" t="s">
        <v>226</v>
      </c>
      <c r="D172" s="6" t="s">
        <v>85</v>
      </c>
      <c r="E172" s="6" t="s">
        <v>63</v>
      </c>
      <c r="F172" s="7">
        <v>46161.310648148145</v>
      </c>
    </row>
    <row r="173" spans="1:6" ht="15.75" customHeight="1" x14ac:dyDescent="0.25">
      <c r="A173" s="6" t="s">
        <v>201</v>
      </c>
      <c r="B173" s="6" t="s">
        <v>51</v>
      </c>
      <c r="C173" s="6" t="s">
        <v>226</v>
      </c>
      <c r="D173" s="6" t="s">
        <v>85</v>
      </c>
      <c r="E173" s="6" t="s">
        <v>66</v>
      </c>
      <c r="F173" s="7">
        <v>46161.310659722221</v>
      </c>
    </row>
    <row r="174" spans="1:6" ht="15.75" customHeight="1" x14ac:dyDescent="0.25">
      <c r="A174" s="6" t="s">
        <v>207</v>
      </c>
      <c r="B174" s="6" t="s">
        <v>51</v>
      </c>
      <c r="C174" s="6" t="s">
        <v>226</v>
      </c>
      <c r="D174" s="6" t="s">
        <v>85</v>
      </c>
      <c r="E174" s="6" t="s">
        <v>63</v>
      </c>
      <c r="F174" s="7">
        <v>46161.310659722221</v>
      </c>
    </row>
    <row r="175" spans="1:6" ht="15.75" customHeight="1" x14ac:dyDescent="0.25">
      <c r="A175" s="6" t="s">
        <v>151</v>
      </c>
      <c r="B175" s="6" t="s">
        <v>51</v>
      </c>
      <c r="C175" s="6" t="s">
        <v>226</v>
      </c>
      <c r="D175" s="6" t="s">
        <v>85</v>
      </c>
      <c r="E175" s="6" t="s">
        <v>64</v>
      </c>
      <c r="F175" s="7">
        <v>46161.310671296298</v>
      </c>
    </row>
    <row r="176" spans="1:6" ht="15.75" customHeight="1" x14ac:dyDescent="0.25">
      <c r="A176" s="6" t="s">
        <v>150</v>
      </c>
      <c r="B176" s="6" t="s">
        <v>51</v>
      </c>
      <c r="C176" s="6" t="s">
        <v>226</v>
      </c>
      <c r="D176" s="6" t="s">
        <v>85</v>
      </c>
      <c r="E176" s="6" t="s">
        <v>61</v>
      </c>
      <c r="F176" s="7">
        <v>46161.310671296298</v>
      </c>
    </row>
    <row r="177" spans="1:6" ht="15.75" customHeight="1" x14ac:dyDescent="0.25">
      <c r="A177" s="6" t="s">
        <v>203</v>
      </c>
      <c r="B177" s="6" t="s">
        <v>51</v>
      </c>
      <c r="C177" s="6" t="s">
        <v>226</v>
      </c>
      <c r="D177" s="6" t="s">
        <v>85</v>
      </c>
      <c r="E177" s="6" t="s">
        <v>62</v>
      </c>
      <c r="F177" s="7">
        <v>46161.310717592591</v>
      </c>
    </row>
    <row r="178" spans="1:6" ht="15.75" customHeight="1" x14ac:dyDescent="0.25">
      <c r="A178" s="6" t="s">
        <v>84</v>
      </c>
      <c r="B178" s="6" t="s">
        <v>51</v>
      </c>
      <c r="C178" s="6" t="s">
        <v>227</v>
      </c>
      <c r="D178" s="6" t="s">
        <v>85</v>
      </c>
      <c r="F178" s="7">
        <v>46161.310729166667</v>
      </c>
    </row>
    <row r="179" spans="1:6" ht="15.75" customHeight="1" x14ac:dyDescent="0.25">
      <c r="A179" s="6" t="s">
        <v>84</v>
      </c>
      <c r="B179" s="6" t="s">
        <v>51</v>
      </c>
      <c r="C179" s="6" t="s">
        <v>227</v>
      </c>
      <c r="D179" s="6" t="s">
        <v>85</v>
      </c>
      <c r="F179" s="7">
        <v>46161.310752314814</v>
      </c>
    </row>
    <row r="180" spans="1:6" ht="15.75" customHeight="1" x14ac:dyDescent="0.25">
      <c r="A180" s="6" t="s">
        <v>84</v>
      </c>
      <c r="B180" s="6" t="s">
        <v>51</v>
      </c>
      <c r="C180" s="6" t="s">
        <v>227</v>
      </c>
      <c r="D180" s="6" t="s">
        <v>85</v>
      </c>
      <c r="F180" s="7">
        <v>46161.310752314814</v>
      </c>
    </row>
    <row r="181" spans="1:6" ht="15.75" customHeight="1" x14ac:dyDescent="0.25">
      <c r="A181" s="6" t="s">
        <v>84</v>
      </c>
      <c r="B181" s="6" t="s">
        <v>51</v>
      </c>
      <c r="C181" s="6" t="s">
        <v>227</v>
      </c>
      <c r="D181" s="6" t="s">
        <v>85</v>
      </c>
      <c r="F181" s="7">
        <v>46161.310810185183</v>
      </c>
    </row>
    <row r="182" spans="1:6" ht="15.75" customHeight="1" x14ac:dyDescent="0.25">
      <c r="A182" s="6" t="s">
        <v>84</v>
      </c>
      <c r="B182" s="6" t="s">
        <v>51</v>
      </c>
      <c r="C182" s="6" t="s">
        <v>227</v>
      </c>
      <c r="D182" s="6" t="s">
        <v>85</v>
      </c>
      <c r="F182" s="7">
        <v>46161.310868055552</v>
      </c>
    </row>
    <row r="183" spans="1:6" ht="15.75" customHeight="1" x14ac:dyDescent="0.25">
      <c r="A183" s="6" t="s">
        <v>84</v>
      </c>
      <c r="B183" s="6" t="s">
        <v>51</v>
      </c>
      <c r="C183" s="6" t="s">
        <v>227</v>
      </c>
      <c r="D183" s="6" t="s">
        <v>85</v>
      </c>
      <c r="F183" s="7">
        <v>46161.310879629629</v>
      </c>
    </row>
    <row r="184" spans="1:6" ht="15.75" customHeight="1" x14ac:dyDescent="0.25">
      <c r="A184" s="6" t="s">
        <v>84</v>
      </c>
      <c r="B184" s="6" t="s">
        <v>51</v>
      </c>
      <c r="C184" s="6" t="s">
        <v>227</v>
      </c>
      <c r="D184" s="6" t="s">
        <v>85</v>
      </c>
      <c r="F184" s="7">
        <v>46161.310902777775</v>
      </c>
    </row>
    <row r="185" spans="1:6" ht="15.75" customHeight="1" x14ac:dyDescent="0.25">
      <c r="A185" s="6" t="s">
        <v>84</v>
      </c>
      <c r="B185" s="6" t="s">
        <v>51</v>
      </c>
      <c r="C185" s="6" t="s">
        <v>227</v>
      </c>
      <c r="D185" s="6" t="s">
        <v>85</v>
      </c>
      <c r="F185" s="7">
        <v>46161.310914351852</v>
      </c>
    </row>
    <row r="186" spans="1:6" ht="15.75" customHeight="1" x14ac:dyDescent="0.25">
      <c r="A186" s="6" t="s">
        <v>84</v>
      </c>
      <c r="B186" s="6" t="s">
        <v>51</v>
      </c>
      <c r="C186" s="6" t="s">
        <v>227</v>
      </c>
      <c r="D186" s="6" t="s">
        <v>85</v>
      </c>
      <c r="F186" s="7">
        <v>46161.310949074075</v>
      </c>
    </row>
    <row r="187" spans="1:6" ht="15.75" customHeight="1" x14ac:dyDescent="0.25">
      <c r="A187" s="6" t="s">
        <v>136</v>
      </c>
      <c r="B187" s="6" t="s">
        <v>228</v>
      </c>
      <c r="C187" s="6" t="s">
        <v>229</v>
      </c>
      <c r="D187" s="6" t="s">
        <v>85</v>
      </c>
      <c r="E187" s="6" t="s">
        <v>52</v>
      </c>
      <c r="F187" s="7">
        <v>46161.311273148145</v>
      </c>
    </row>
    <row r="188" spans="1:6" ht="15.75" customHeight="1" x14ac:dyDescent="0.25">
      <c r="A188" s="6" t="s">
        <v>100</v>
      </c>
      <c r="B188" s="6" t="s">
        <v>228</v>
      </c>
      <c r="C188" s="6" t="s">
        <v>229</v>
      </c>
      <c r="D188" s="6" t="s">
        <v>85</v>
      </c>
      <c r="E188" s="6" t="s">
        <v>53</v>
      </c>
      <c r="F188" s="7">
        <v>46161.311273148145</v>
      </c>
    </row>
    <row r="189" spans="1:6" ht="15.75" customHeight="1" x14ac:dyDescent="0.25">
      <c r="A189" s="6" t="s">
        <v>139</v>
      </c>
      <c r="B189" s="6" t="s">
        <v>228</v>
      </c>
      <c r="C189" s="6" t="s">
        <v>229</v>
      </c>
      <c r="D189" s="6" t="s">
        <v>85</v>
      </c>
      <c r="E189" s="6" t="s">
        <v>54</v>
      </c>
      <c r="F189" s="7">
        <v>46161.311284722222</v>
      </c>
    </row>
    <row r="190" spans="1:6" ht="15.75" customHeight="1" x14ac:dyDescent="0.25">
      <c r="A190" s="6" t="s">
        <v>138</v>
      </c>
      <c r="B190" s="6" t="s">
        <v>228</v>
      </c>
      <c r="C190" s="6" t="s">
        <v>229</v>
      </c>
      <c r="D190" s="6" t="s">
        <v>85</v>
      </c>
      <c r="E190" s="6" t="s">
        <v>55</v>
      </c>
      <c r="F190" s="7">
        <v>46161.311284722222</v>
      </c>
    </row>
    <row r="191" spans="1:6" ht="15.75" customHeight="1" x14ac:dyDescent="0.25">
      <c r="A191" s="6" t="s">
        <v>84</v>
      </c>
      <c r="B191" s="6" t="s">
        <v>228</v>
      </c>
      <c r="C191" s="6" t="s">
        <v>230</v>
      </c>
      <c r="D191" s="6" t="s">
        <v>85</v>
      </c>
      <c r="F191" s="7">
        <v>46161.311365740738</v>
      </c>
    </row>
    <row r="192" spans="1:6" ht="15.75" customHeight="1" x14ac:dyDescent="0.25">
      <c r="A192" s="6" t="s">
        <v>84</v>
      </c>
      <c r="B192" s="6" t="s">
        <v>228</v>
      </c>
      <c r="C192" s="6" t="s">
        <v>230</v>
      </c>
      <c r="D192" s="6" t="s">
        <v>85</v>
      </c>
      <c r="F192" s="7">
        <v>46161.311435185184</v>
      </c>
    </row>
    <row r="193" spans="1:6" ht="15.75" customHeight="1" x14ac:dyDescent="0.25">
      <c r="A193" s="6" t="s">
        <v>84</v>
      </c>
      <c r="B193" s="6" t="s">
        <v>228</v>
      </c>
      <c r="C193" s="6" t="s">
        <v>230</v>
      </c>
      <c r="D193" s="6" t="s">
        <v>85</v>
      </c>
      <c r="F193" s="7">
        <v>46161.311574074076</v>
      </c>
    </row>
    <row r="194" spans="1:6" ht="15.75" customHeight="1" x14ac:dyDescent="0.25">
      <c r="A194" s="6" t="s">
        <v>84</v>
      </c>
      <c r="B194" s="6" t="s">
        <v>231</v>
      </c>
      <c r="C194" s="6" t="s">
        <v>233</v>
      </c>
      <c r="D194" s="6" t="s">
        <v>85</v>
      </c>
      <c r="F194" s="7">
        <v>46161.333402777775</v>
      </c>
    </row>
    <row r="195" spans="1:6" ht="15.75" customHeight="1" x14ac:dyDescent="0.25">
      <c r="A195" s="6" t="s">
        <v>84</v>
      </c>
      <c r="B195" s="6" t="s">
        <v>231</v>
      </c>
      <c r="C195" s="6" t="s">
        <v>233</v>
      </c>
      <c r="D195" s="6" t="s">
        <v>85</v>
      </c>
      <c r="F195" s="7">
        <v>46161.333460648151</v>
      </c>
    </row>
    <row r="196" spans="1:6" ht="15.75" customHeight="1" x14ac:dyDescent="0.25">
      <c r="A196" s="6" t="s">
        <v>84</v>
      </c>
      <c r="B196" s="6" t="s">
        <v>231</v>
      </c>
      <c r="C196" s="6" t="s">
        <v>233</v>
      </c>
      <c r="D196" s="6" t="s">
        <v>85</v>
      </c>
      <c r="F196" s="7">
        <v>46161.333541666667</v>
      </c>
    </row>
    <row r="197" spans="1:6" ht="15.75" customHeight="1" x14ac:dyDescent="0.25">
      <c r="A197" s="6" t="s">
        <v>84</v>
      </c>
      <c r="B197" s="6" t="s">
        <v>231</v>
      </c>
      <c r="C197" s="6" t="s">
        <v>233</v>
      </c>
      <c r="D197" s="6" t="s">
        <v>85</v>
      </c>
      <c r="F197" s="7">
        <v>46161.333599537036</v>
      </c>
    </row>
    <row r="198" spans="1:6" ht="15.75" customHeight="1" x14ac:dyDescent="0.25">
      <c r="A198" s="6" t="s">
        <v>136</v>
      </c>
      <c r="B198" s="6" t="s">
        <v>231</v>
      </c>
      <c r="C198" s="6" t="s">
        <v>232</v>
      </c>
      <c r="D198" s="6" t="s">
        <v>85</v>
      </c>
      <c r="E198" s="6" t="s">
        <v>52</v>
      </c>
      <c r="F198" s="7">
        <v>46161.346145833333</v>
      </c>
    </row>
    <row r="199" spans="1:6" ht="15.75" customHeight="1" x14ac:dyDescent="0.25">
      <c r="A199" s="6" t="s">
        <v>139</v>
      </c>
      <c r="B199" s="6" t="s">
        <v>231</v>
      </c>
      <c r="C199" s="6" t="s">
        <v>232</v>
      </c>
      <c r="D199" s="6" t="s">
        <v>85</v>
      </c>
      <c r="E199" s="6" t="s">
        <v>54</v>
      </c>
      <c r="F199" s="7">
        <v>46161.34615740741</v>
      </c>
    </row>
    <row r="200" spans="1:6" ht="15.75" customHeight="1" x14ac:dyDescent="0.25">
      <c r="A200" s="6" t="s">
        <v>100</v>
      </c>
      <c r="B200" s="6" t="s">
        <v>231</v>
      </c>
      <c r="C200" s="6" t="s">
        <v>232</v>
      </c>
      <c r="D200" s="6" t="s">
        <v>85</v>
      </c>
      <c r="E200" s="6" t="s">
        <v>53</v>
      </c>
      <c r="F200" s="7">
        <v>46161.346180555556</v>
      </c>
    </row>
    <row r="201" spans="1:6" ht="15.75" customHeight="1" x14ac:dyDescent="0.25">
      <c r="A201" s="6" t="s">
        <v>138</v>
      </c>
      <c r="B201" s="6" t="s">
        <v>231</v>
      </c>
      <c r="C201" s="6" t="s">
        <v>232</v>
      </c>
      <c r="D201" s="6" t="s">
        <v>85</v>
      </c>
      <c r="E201" s="6" t="s">
        <v>55</v>
      </c>
      <c r="F201" s="7">
        <v>46161.346215277779</v>
      </c>
    </row>
    <row r="202" spans="1:6" ht="15.75" customHeight="1" x14ac:dyDescent="0.25">
      <c r="A202" s="6" t="s">
        <v>100</v>
      </c>
      <c r="B202" s="6" t="s">
        <v>242</v>
      </c>
      <c r="C202" s="6" t="s">
        <v>243</v>
      </c>
      <c r="D202" s="6" t="s">
        <v>85</v>
      </c>
      <c r="E202" s="6" t="s">
        <v>53</v>
      </c>
      <c r="F202" s="7">
        <v>46162.560937499999</v>
      </c>
    </row>
    <row r="203" spans="1:6" ht="15.75" customHeight="1" x14ac:dyDescent="0.25">
      <c r="A203" s="6" t="s">
        <v>136</v>
      </c>
      <c r="B203" s="6" t="s">
        <v>244</v>
      </c>
      <c r="C203" s="6" t="s">
        <v>245</v>
      </c>
      <c r="D203" s="6" t="s">
        <v>85</v>
      </c>
      <c r="E203" s="6" t="s">
        <v>52</v>
      </c>
      <c r="F203" s="7">
        <v>46162.561724537038</v>
      </c>
    </row>
    <row r="204" spans="1:6" ht="15.75" customHeight="1" x14ac:dyDescent="0.25">
      <c r="A204" s="6" t="s">
        <v>207</v>
      </c>
      <c r="B204" s="6" t="s">
        <v>51</v>
      </c>
      <c r="C204" s="6" t="s">
        <v>248</v>
      </c>
      <c r="D204" s="6" t="s">
        <v>85</v>
      </c>
      <c r="E204" s="6" t="s">
        <v>63</v>
      </c>
      <c r="F204" s="7">
        <v>46162.63689814815</v>
      </c>
    </row>
    <row r="205" spans="1:6" ht="15.75" customHeight="1" x14ac:dyDescent="0.25">
      <c r="A205" s="6" t="s">
        <v>84</v>
      </c>
      <c r="B205" s="6" t="s">
        <v>51</v>
      </c>
      <c r="C205" s="6" t="s">
        <v>255</v>
      </c>
      <c r="D205" s="6" t="s">
        <v>85</v>
      </c>
      <c r="F205" s="7">
        <v>46163.688518518517</v>
      </c>
    </row>
    <row r="206" spans="1:6" ht="15.75" customHeight="1" x14ac:dyDescent="0.25">
      <c r="A206" s="6" t="s">
        <v>84</v>
      </c>
      <c r="B206" s="6" t="s">
        <v>51</v>
      </c>
      <c r="C206" s="6" t="s">
        <v>255</v>
      </c>
      <c r="D206" s="6" t="s">
        <v>85</v>
      </c>
      <c r="F206" s="7">
        <v>46163.68855324074</v>
      </c>
    </row>
    <row r="207" spans="1:6" ht="15.75" customHeight="1" x14ac:dyDescent="0.25">
      <c r="A207" s="6" t="s">
        <v>84</v>
      </c>
      <c r="B207" s="6" t="s">
        <v>51</v>
      </c>
      <c r="C207" s="6" t="s">
        <v>255</v>
      </c>
      <c r="D207" s="6" t="s">
        <v>85</v>
      </c>
      <c r="F207" s="7">
        <v>46163.688564814816</v>
      </c>
    </row>
    <row r="208" spans="1:6" ht="15.75" customHeight="1" x14ac:dyDescent="0.25">
      <c r="A208" s="6" t="s">
        <v>84</v>
      </c>
      <c r="B208" s="6" t="s">
        <v>51</v>
      </c>
      <c r="C208" s="6" t="s">
        <v>255</v>
      </c>
      <c r="D208" s="6" t="s">
        <v>85</v>
      </c>
      <c r="F208" s="7">
        <v>46163.688634259262</v>
      </c>
    </row>
    <row r="209" spans="1:6" ht="15.75" customHeight="1" x14ac:dyDescent="0.25">
      <c r="A209" s="6" t="s">
        <v>136</v>
      </c>
      <c r="B209" s="6" t="s">
        <v>51</v>
      </c>
      <c r="C209" s="6" t="s">
        <v>254</v>
      </c>
      <c r="D209" s="6" t="s">
        <v>85</v>
      </c>
      <c r="E209" s="6" t="s">
        <v>52</v>
      </c>
      <c r="F209" s="7">
        <v>46163.688680555555</v>
      </c>
    </row>
    <row r="210" spans="1:6" ht="15.75" customHeight="1" x14ac:dyDescent="0.25">
      <c r="A210" s="6" t="s">
        <v>100</v>
      </c>
      <c r="B210" s="6" t="s">
        <v>51</v>
      </c>
      <c r="C210" s="6" t="s">
        <v>254</v>
      </c>
      <c r="D210" s="6" t="s">
        <v>85</v>
      </c>
      <c r="E210" s="6" t="s">
        <v>53</v>
      </c>
      <c r="F210" s="7">
        <v>46163.688703703701</v>
      </c>
    </row>
    <row r="211" spans="1:6" ht="15.75" customHeight="1" x14ac:dyDescent="0.25">
      <c r="A211" s="6" t="s">
        <v>135</v>
      </c>
      <c r="B211" s="6" t="s">
        <v>258</v>
      </c>
      <c r="C211" s="6" t="s">
        <v>259</v>
      </c>
      <c r="D211" s="6" t="s">
        <v>85</v>
      </c>
      <c r="E211" s="6" t="s">
        <v>56</v>
      </c>
      <c r="F211" s="7">
        <v>46163.703680555554</v>
      </c>
    </row>
    <row r="212" spans="1:6" ht="15.75" customHeight="1" x14ac:dyDescent="0.25">
      <c r="A212" s="6" t="s">
        <v>100</v>
      </c>
      <c r="B212" s="6" t="s">
        <v>258</v>
      </c>
      <c r="C212" s="6" t="s">
        <v>259</v>
      </c>
      <c r="D212" s="6" t="s">
        <v>85</v>
      </c>
      <c r="E212" s="6" t="s">
        <v>53</v>
      </c>
      <c r="F212" s="7">
        <v>46163.703692129631</v>
      </c>
    </row>
    <row r="213" spans="1:6" ht="15.75" customHeight="1" x14ac:dyDescent="0.25">
      <c r="A213" s="6" t="s">
        <v>138</v>
      </c>
      <c r="B213" s="6" t="s">
        <v>258</v>
      </c>
      <c r="C213" s="6" t="s">
        <v>259</v>
      </c>
      <c r="D213" s="6" t="s">
        <v>85</v>
      </c>
      <c r="E213" s="6" t="s">
        <v>55</v>
      </c>
      <c r="F213" s="7">
        <v>46163.703692129631</v>
      </c>
    </row>
    <row r="214" spans="1:6" ht="15.75" customHeight="1" x14ac:dyDescent="0.25">
      <c r="A214" s="6" t="s">
        <v>260</v>
      </c>
      <c r="B214" s="6" t="s">
        <v>258</v>
      </c>
      <c r="C214" s="6" t="s">
        <v>259</v>
      </c>
      <c r="D214" s="6" t="s">
        <v>85</v>
      </c>
      <c r="E214" s="6" t="s">
        <v>60</v>
      </c>
      <c r="F214" s="7">
        <v>46163.703703703701</v>
      </c>
    </row>
    <row r="215" spans="1:6" ht="15.75" customHeight="1" x14ac:dyDescent="0.25">
      <c r="A215" s="6" t="s">
        <v>150</v>
      </c>
      <c r="B215" s="6" t="s">
        <v>258</v>
      </c>
      <c r="C215" s="6" t="s">
        <v>259</v>
      </c>
      <c r="D215" s="6" t="s">
        <v>85</v>
      </c>
      <c r="E215" s="6" t="s">
        <v>61</v>
      </c>
      <c r="F215" s="7">
        <v>46163.703703703701</v>
      </c>
    </row>
    <row r="216" spans="1:6" ht="15.75" customHeight="1" x14ac:dyDescent="0.25">
      <c r="A216" s="6" t="s">
        <v>146</v>
      </c>
      <c r="B216" s="6" t="s">
        <v>258</v>
      </c>
      <c r="C216" s="6" t="s">
        <v>259</v>
      </c>
      <c r="D216" s="6" t="s">
        <v>85</v>
      </c>
      <c r="E216" s="6" t="s">
        <v>58</v>
      </c>
      <c r="F216" s="7">
        <v>46163.703715277778</v>
      </c>
    </row>
    <row r="217" spans="1:6" ht="15.75" customHeight="1" x14ac:dyDescent="0.25">
      <c r="A217" s="6" t="s">
        <v>100</v>
      </c>
      <c r="B217" s="6" t="s">
        <v>258</v>
      </c>
      <c r="C217" s="6" t="s">
        <v>259</v>
      </c>
      <c r="D217" s="6" t="s">
        <v>85</v>
      </c>
      <c r="E217" s="6" t="s">
        <v>53</v>
      </c>
      <c r="F217" s="7">
        <v>46163.707418981481</v>
      </c>
    </row>
    <row r="218" spans="1:6" ht="15.75" customHeight="1" x14ac:dyDescent="0.25">
      <c r="A218" s="6" t="s">
        <v>138</v>
      </c>
      <c r="B218" s="6" t="s">
        <v>258</v>
      </c>
      <c r="C218" s="6" t="s">
        <v>259</v>
      </c>
      <c r="D218" s="6" t="s">
        <v>85</v>
      </c>
      <c r="E218" s="6" t="s">
        <v>55</v>
      </c>
      <c r="F218" s="7">
        <v>46163.707442129627</v>
      </c>
    </row>
    <row r="219" spans="1:6" ht="15.75" customHeight="1" x14ac:dyDescent="0.25">
      <c r="A219" s="6" t="s">
        <v>135</v>
      </c>
      <c r="B219" s="6" t="s">
        <v>258</v>
      </c>
      <c r="C219" s="6" t="s">
        <v>259</v>
      </c>
      <c r="D219" s="6" t="s">
        <v>85</v>
      </c>
      <c r="E219" s="6" t="s">
        <v>56</v>
      </c>
      <c r="F219" s="7">
        <v>46163.707442129627</v>
      </c>
    </row>
    <row r="220" spans="1:6" ht="15.75" customHeight="1" x14ac:dyDescent="0.25">
      <c r="A220" s="6" t="s">
        <v>137</v>
      </c>
      <c r="B220" s="6" t="s">
        <v>258</v>
      </c>
      <c r="C220" s="6" t="s">
        <v>259</v>
      </c>
      <c r="D220" s="6" t="s">
        <v>85</v>
      </c>
      <c r="E220" s="6" t="s">
        <v>57</v>
      </c>
      <c r="F220" s="7">
        <v>46163.707442129627</v>
      </c>
    </row>
    <row r="221" spans="1:6" ht="15.75" customHeight="1" x14ac:dyDescent="0.25">
      <c r="A221" s="6" t="s">
        <v>146</v>
      </c>
      <c r="B221" s="6" t="s">
        <v>258</v>
      </c>
      <c r="C221" s="6" t="s">
        <v>259</v>
      </c>
      <c r="D221" s="6" t="s">
        <v>85</v>
      </c>
      <c r="E221" s="6" t="s">
        <v>58</v>
      </c>
      <c r="F221" s="7">
        <v>46163.707442129627</v>
      </c>
    </row>
    <row r="222" spans="1:6" ht="15.75" customHeight="1" x14ac:dyDescent="0.25">
      <c r="A222" s="6" t="s">
        <v>140</v>
      </c>
      <c r="B222" s="6" t="s">
        <v>258</v>
      </c>
      <c r="C222" s="6" t="s">
        <v>259</v>
      </c>
      <c r="D222" s="6" t="s">
        <v>85</v>
      </c>
      <c r="E222" s="6" t="s">
        <v>59</v>
      </c>
      <c r="F222" s="7">
        <v>46163.707442129627</v>
      </c>
    </row>
    <row r="223" spans="1:6" ht="15.75" customHeight="1" x14ac:dyDescent="0.25">
      <c r="A223" s="6" t="s">
        <v>260</v>
      </c>
      <c r="B223" s="6" t="s">
        <v>258</v>
      </c>
      <c r="C223" s="6" t="s">
        <v>259</v>
      </c>
      <c r="D223" s="6" t="s">
        <v>85</v>
      </c>
      <c r="E223" s="6" t="s">
        <v>60</v>
      </c>
      <c r="F223" s="7">
        <v>46163.707442129627</v>
      </c>
    </row>
    <row r="224" spans="1:6" ht="15.75" customHeight="1" x14ac:dyDescent="0.25">
      <c r="A224" s="6" t="s">
        <v>150</v>
      </c>
      <c r="B224" s="6" t="s">
        <v>258</v>
      </c>
      <c r="C224" s="6" t="s">
        <v>259</v>
      </c>
      <c r="D224" s="6" t="s">
        <v>85</v>
      </c>
      <c r="E224" s="6" t="s">
        <v>61</v>
      </c>
      <c r="F224" s="7">
        <v>46163.707442129627</v>
      </c>
    </row>
    <row r="225" spans="1:6" ht="15.75" customHeight="1" x14ac:dyDescent="0.25">
      <c r="A225" s="6" t="s">
        <v>100</v>
      </c>
      <c r="B225" s="6" t="s">
        <v>261</v>
      </c>
      <c r="C225" s="6" t="s">
        <v>262</v>
      </c>
      <c r="D225" s="6" t="s">
        <v>85</v>
      </c>
      <c r="E225" s="6" t="s">
        <v>53</v>
      </c>
      <c r="F225" s="7">
        <v>46163.710243055553</v>
      </c>
    </row>
    <row r="226" spans="1:6" ht="15.75" customHeight="1" x14ac:dyDescent="0.25">
      <c r="A226" s="6" t="s">
        <v>100</v>
      </c>
      <c r="B226" s="6" t="s">
        <v>258</v>
      </c>
      <c r="C226" s="6" t="s">
        <v>259</v>
      </c>
      <c r="D226" s="6" t="s">
        <v>85</v>
      </c>
      <c r="E226" s="6" t="s">
        <v>53</v>
      </c>
      <c r="F226" s="7">
        <v>46163.7109375</v>
      </c>
    </row>
    <row r="227" spans="1:6" ht="15.75" customHeight="1" x14ac:dyDescent="0.25">
      <c r="A227" s="6" t="s">
        <v>100</v>
      </c>
      <c r="B227" s="6" t="s">
        <v>263</v>
      </c>
      <c r="C227" s="6" t="s">
        <v>264</v>
      </c>
      <c r="D227" s="6" t="s">
        <v>85</v>
      </c>
      <c r="E227" s="6" t="s">
        <v>53</v>
      </c>
      <c r="F227" s="7">
        <v>46163.73978009259</v>
      </c>
    </row>
    <row r="228" spans="1:6" ht="15.75" customHeight="1" x14ac:dyDescent="0.25">
      <c r="A228" s="6" t="s">
        <v>136</v>
      </c>
      <c r="B228" s="6" t="s">
        <v>263</v>
      </c>
      <c r="C228" s="6" t="s">
        <v>264</v>
      </c>
      <c r="D228" s="6" t="s">
        <v>85</v>
      </c>
      <c r="E228" s="6" t="s">
        <v>52</v>
      </c>
      <c r="F228" s="7">
        <v>46163.739803240744</v>
      </c>
    </row>
    <row r="229" spans="1:6" ht="15.75" customHeight="1" x14ac:dyDescent="0.25">
      <c r="A229" s="6" t="s">
        <v>138</v>
      </c>
      <c r="B229" s="6" t="s">
        <v>265</v>
      </c>
      <c r="C229" s="6" t="s">
        <v>266</v>
      </c>
      <c r="D229" s="6" t="s">
        <v>85</v>
      </c>
      <c r="E229" s="6" t="s">
        <v>55</v>
      </c>
      <c r="F229" s="7">
        <v>46163.752650462964</v>
      </c>
    </row>
    <row r="230" spans="1:6" ht="15.75" customHeight="1" x14ac:dyDescent="0.25">
      <c r="A230" s="6" t="s">
        <v>136</v>
      </c>
      <c r="B230" s="6" t="s">
        <v>265</v>
      </c>
      <c r="C230" s="6" t="s">
        <v>266</v>
      </c>
      <c r="D230" s="6" t="s">
        <v>85</v>
      </c>
      <c r="E230" s="6" t="s">
        <v>52</v>
      </c>
      <c r="F230" s="7">
        <v>46163.752662037034</v>
      </c>
    </row>
    <row r="231" spans="1:6" ht="15.75" customHeight="1" x14ac:dyDescent="0.25">
      <c r="A231" s="6" t="s">
        <v>100</v>
      </c>
      <c r="B231" s="6" t="s">
        <v>265</v>
      </c>
      <c r="C231" s="6" t="s">
        <v>266</v>
      </c>
      <c r="D231" s="6" t="s">
        <v>85</v>
      </c>
      <c r="E231" s="6" t="s">
        <v>53</v>
      </c>
      <c r="F231" s="7">
        <v>46163.752662037034</v>
      </c>
    </row>
    <row r="232" spans="1:6" ht="15.75" customHeight="1" x14ac:dyDescent="0.25">
      <c r="A232" s="6" t="s">
        <v>100</v>
      </c>
      <c r="B232" s="6" t="s">
        <v>268</v>
      </c>
      <c r="C232" s="6" t="s">
        <v>269</v>
      </c>
      <c r="D232" s="6" t="s">
        <v>85</v>
      </c>
      <c r="E232" s="6" t="s">
        <v>53</v>
      </c>
      <c r="F232" s="7">
        <v>46163.755671296298</v>
      </c>
    </row>
    <row r="233" spans="1:6" ht="15.75" customHeight="1" x14ac:dyDescent="0.25">
      <c r="A233" s="6" t="s">
        <v>136</v>
      </c>
      <c r="B233" s="6" t="s">
        <v>268</v>
      </c>
      <c r="C233" s="6" t="s">
        <v>269</v>
      </c>
      <c r="D233" s="6" t="s">
        <v>85</v>
      </c>
      <c r="E233" s="6" t="s">
        <v>52</v>
      </c>
      <c r="F233" s="7">
        <v>46163.755682870367</v>
      </c>
    </row>
    <row r="234" spans="1:6" ht="15.75" customHeight="1" x14ac:dyDescent="0.25">
      <c r="A234" s="6" t="s">
        <v>136</v>
      </c>
      <c r="B234" s="6" t="s">
        <v>51</v>
      </c>
      <c r="C234" s="6" t="s">
        <v>254</v>
      </c>
      <c r="D234" s="6" t="s">
        <v>85</v>
      </c>
      <c r="E234" s="6" t="s">
        <v>52</v>
      </c>
      <c r="F234" s="7">
        <v>46167.383229166669</v>
      </c>
    </row>
    <row r="235" spans="1:6" ht="15.75" customHeight="1" x14ac:dyDescent="0.25">
      <c r="A235" s="6" t="s">
        <v>100</v>
      </c>
      <c r="B235" s="6" t="s">
        <v>51</v>
      </c>
      <c r="C235" s="6" t="s">
        <v>254</v>
      </c>
      <c r="D235" s="6" t="s">
        <v>85</v>
      </c>
      <c r="E235" s="6" t="s">
        <v>53</v>
      </c>
      <c r="F235" s="7">
        <v>46167.383240740739</v>
      </c>
    </row>
    <row r="236" spans="1:6" ht="15.75" customHeight="1" x14ac:dyDescent="0.25">
      <c r="A236" s="6" t="s">
        <v>136</v>
      </c>
      <c r="B236" s="6" t="s">
        <v>270</v>
      </c>
      <c r="C236" s="6" t="s">
        <v>259</v>
      </c>
      <c r="D236" s="6" t="s">
        <v>85</v>
      </c>
      <c r="E236" s="6" t="s">
        <v>52</v>
      </c>
      <c r="F236" s="7">
        <v>46167.392696759256</v>
      </c>
    </row>
    <row r="237" spans="1:6" ht="15.75" customHeight="1" x14ac:dyDescent="0.25">
      <c r="A237" s="6" t="s">
        <v>139</v>
      </c>
      <c r="B237" s="6" t="s">
        <v>270</v>
      </c>
      <c r="C237" s="6" t="s">
        <v>259</v>
      </c>
      <c r="D237" s="6" t="s">
        <v>85</v>
      </c>
      <c r="E237" s="6" t="s">
        <v>54</v>
      </c>
      <c r="F237" s="7">
        <v>46167.392708333333</v>
      </c>
    </row>
    <row r="238" spans="1:6" ht="15.75" customHeight="1" x14ac:dyDescent="0.25">
      <c r="A238" s="6" t="s">
        <v>137</v>
      </c>
      <c r="B238" s="6" t="s">
        <v>270</v>
      </c>
      <c r="C238" s="6" t="s">
        <v>259</v>
      </c>
      <c r="D238" s="6" t="s">
        <v>85</v>
      </c>
      <c r="E238" s="6" t="s">
        <v>57</v>
      </c>
      <c r="F238" s="7">
        <v>46167.392708333333</v>
      </c>
    </row>
    <row r="239" spans="1:6" ht="15.75" customHeight="1" x14ac:dyDescent="0.25">
      <c r="A239" s="6" t="s">
        <v>140</v>
      </c>
      <c r="B239" s="6" t="s">
        <v>270</v>
      </c>
      <c r="C239" s="6" t="s">
        <v>259</v>
      </c>
      <c r="D239" s="6" t="s">
        <v>85</v>
      </c>
      <c r="E239" s="6" t="s">
        <v>59</v>
      </c>
      <c r="F239" s="7">
        <v>46167.39271990741</v>
      </c>
    </row>
    <row r="240" spans="1:6" ht="15.75" customHeight="1" x14ac:dyDescent="0.25">
      <c r="A240" s="6" t="s">
        <v>138</v>
      </c>
      <c r="B240" s="6" t="s">
        <v>270</v>
      </c>
      <c r="C240" s="6" t="s">
        <v>259</v>
      </c>
      <c r="D240" s="6" t="s">
        <v>85</v>
      </c>
      <c r="E240" s="6" t="s">
        <v>55</v>
      </c>
      <c r="F240" s="7">
        <v>46167.39271990741</v>
      </c>
    </row>
    <row r="241" spans="1:6" ht="15.75" customHeight="1" x14ac:dyDescent="0.25">
      <c r="A241" s="6" t="s">
        <v>100</v>
      </c>
      <c r="B241" s="6" t="s">
        <v>270</v>
      </c>
      <c r="C241" s="6" t="s">
        <v>259</v>
      </c>
      <c r="D241" s="6" t="s">
        <v>85</v>
      </c>
      <c r="E241" s="6" t="s">
        <v>53</v>
      </c>
      <c r="F241" s="7">
        <v>46167.392743055556</v>
      </c>
    </row>
    <row r="242" spans="1:6" ht="15.75" customHeight="1" x14ac:dyDescent="0.25">
      <c r="A242" s="6" t="s">
        <v>136</v>
      </c>
      <c r="B242" s="6" t="s">
        <v>271</v>
      </c>
      <c r="C242" s="6" t="s">
        <v>262</v>
      </c>
      <c r="D242" s="6" t="s">
        <v>85</v>
      </c>
      <c r="E242" s="6" t="s">
        <v>52</v>
      </c>
      <c r="F242" s="7">
        <v>46167.392997685187</v>
      </c>
    </row>
    <row r="243" spans="1:6" ht="15.75" customHeight="1" x14ac:dyDescent="0.25">
      <c r="A243" s="6" t="s">
        <v>139</v>
      </c>
      <c r="B243" s="6" t="s">
        <v>271</v>
      </c>
      <c r="C243" s="6" t="s">
        <v>262</v>
      </c>
      <c r="D243" s="6" t="s">
        <v>85</v>
      </c>
      <c r="E243" s="6" t="s">
        <v>54</v>
      </c>
      <c r="F243" s="7">
        <v>46167.392997685187</v>
      </c>
    </row>
    <row r="244" spans="1:6" ht="15.75" customHeight="1" x14ac:dyDescent="0.25">
      <c r="A244" s="6" t="s">
        <v>138</v>
      </c>
      <c r="B244" s="6" t="s">
        <v>271</v>
      </c>
      <c r="C244" s="6" t="s">
        <v>262</v>
      </c>
      <c r="D244" s="6" t="s">
        <v>85</v>
      </c>
      <c r="E244" s="6" t="s">
        <v>55</v>
      </c>
      <c r="F244" s="7">
        <v>46167.393009259256</v>
      </c>
    </row>
    <row r="245" spans="1:6" ht="15.75" customHeight="1" x14ac:dyDescent="0.25">
      <c r="A245" s="6" t="s">
        <v>100</v>
      </c>
      <c r="B245" s="6" t="s">
        <v>271</v>
      </c>
      <c r="C245" s="6" t="s">
        <v>262</v>
      </c>
      <c r="D245" s="6" t="s">
        <v>85</v>
      </c>
      <c r="E245" s="6" t="s">
        <v>53</v>
      </c>
      <c r="F245" s="7">
        <v>46167.393009259256</v>
      </c>
    </row>
    <row r="246" spans="1:6" ht="15.75" customHeight="1" x14ac:dyDescent="0.25">
      <c r="A246" s="6" t="s">
        <v>135</v>
      </c>
      <c r="B246" s="6" t="s">
        <v>271</v>
      </c>
      <c r="C246" s="6" t="s">
        <v>262</v>
      </c>
      <c r="D246" s="6" t="s">
        <v>85</v>
      </c>
      <c r="E246" s="6" t="s">
        <v>56</v>
      </c>
      <c r="F246" s="7">
        <v>46167.393020833333</v>
      </c>
    </row>
    <row r="247" spans="1:6" ht="15.75" customHeight="1" x14ac:dyDescent="0.25">
      <c r="A247" s="6" t="s">
        <v>146</v>
      </c>
      <c r="B247" s="6" t="s">
        <v>271</v>
      </c>
      <c r="C247" s="6" t="s">
        <v>262</v>
      </c>
      <c r="D247" s="6" t="s">
        <v>85</v>
      </c>
      <c r="E247" s="6" t="s">
        <v>58</v>
      </c>
      <c r="F247" s="7">
        <v>46167.393020833333</v>
      </c>
    </row>
    <row r="248" spans="1:6" ht="15.75" customHeight="1" x14ac:dyDescent="0.25">
      <c r="A248" s="6" t="s">
        <v>135</v>
      </c>
      <c r="B248" s="6" t="s">
        <v>271</v>
      </c>
      <c r="C248" s="6" t="s">
        <v>262</v>
      </c>
      <c r="D248" s="6" t="s">
        <v>85</v>
      </c>
      <c r="E248" s="6" t="s">
        <v>56</v>
      </c>
      <c r="F248" s="7">
        <v>46167.393043981479</v>
      </c>
    </row>
    <row r="249" spans="1:6" ht="15.75" customHeight="1" x14ac:dyDescent="0.25">
      <c r="A249" s="6" t="s">
        <v>139</v>
      </c>
      <c r="B249" s="6" t="s">
        <v>272</v>
      </c>
      <c r="C249" s="6" t="s">
        <v>264</v>
      </c>
      <c r="D249" s="6" t="s">
        <v>85</v>
      </c>
      <c r="E249" s="6" t="s">
        <v>54</v>
      </c>
      <c r="F249" s="7">
        <v>46167.39329861111</v>
      </c>
    </row>
    <row r="250" spans="1:6" ht="15.75" customHeight="1" x14ac:dyDescent="0.25">
      <c r="A250" s="6" t="s">
        <v>100</v>
      </c>
      <c r="B250" s="6" t="s">
        <v>272</v>
      </c>
      <c r="C250" s="6" t="s">
        <v>264</v>
      </c>
      <c r="D250" s="6" t="s">
        <v>85</v>
      </c>
      <c r="E250" s="6" t="s">
        <v>53</v>
      </c>
      <c r="F250" s="7">
        <v>46167.393333333333</v>
      </c>
    </row>
    <row r="251" spans="1:6" ht="15.75" customHeight="1" x14ac:dyDescent="0.25">
      <c r="A251" s="6" t="s">
        <v>139</v>
      </c>
      <c r="B251" s="6" t="s">
        <v>272</v>
      </c>
      <c r="C251" s="6" t="s">
        <v>264</v>
      </c>
      <c r="D251" s="6" t="s">
        <v>85</v>
      </c>
      <c r="E251" s="6" t="s">
        <v>54</v>
      </c>
      <c r="F251" s="7">
        <v>46167.393368055556</v>
      </c>
    </row>
    <row r="252" spans="1:6" ht="15.75" customHeight="1" x14ac:dyDescent="0.25">
      <c r="A252" s="6" t="s">
        <v>136</v>
      </c>
      <c r="B252" s="6" t="s">
        <v>272</v>
      </c>
      <c r="C252" s="6" t="s">
        <v>264</v>
      </c>
      <c r="D252" s="6" t="s">
        <v>85</v>
      </c>
      <c r="E252" s="6" t="s">
        <v>52</v>
      </c>
      <c r="F252" s="7">
        <v>46167.393379629626</v>
      </c>
    </row>
    <row r="253" spans="1:6" ht="15.75" customHeight="1" x14ac:dyDescent="0.25">
      <c r="A253" s="6" t="s">
        <v>136</v>
      </c>
      <c r="B253" s="6" t="s">
        <v>271</v>
      </c>
      <c r="C253" s="6" t="s">
        <v>266</v>
      </c>
      <c r="D253" s="6" t="s">
        <v>85</v>
      </c>
      <c r="E253" s="6" t="s">
        <v>52</v>
      </c>
      <c r="F253" s="7">
        <v>46167.420624999999</v>
      </c>
    </row>
    <row r="254" spans="1:6" ht="15.75" customHeight="1" x14ac:dyDescent="0.25">
      <c r="A254" s="6" t="s">
        <v>100</v>
      </c>
      <c r="B254" s="6" t="s">
        <v>271</v>
      </c>
      <c r="C254" s="6" t="s">
        <v>266</v>
      </c>
      <c r="D254" s="6" t="s">
        <v>85</v>
      </c>
      <c r="E254" s="6" t="s">
        <v>53</v>
      </c>
      <c r="F254" s="7">
        <v>46167.424062500002</v>
      </c>
    </row>
    <row r="255" spans="1:6" ht="15.75" customHeight="1" x14ac:dyDescent="0.25">
      <c r="A255" s="6" t="s">
        <v>277</v>
      </c>
      <c r="B255" s="6" t="s">
        <v>271</v>
      </c>
      <c r="C255" s="6" t="s">
        <v>274</v>
      </c>
      <c r="D255" s="6" t="s">
        <v>85</v>
      </c>
      <c r="E255" s="6">
        <v>146354</v>
      </c>
      <c r="F255" s="7">
        <v>46167.483657407407</v>
      </c>
    </row>
    <row r="256" spans="1:6" ht="15.75" customHeight="1" x14ac:dyDescent="0.25">
      <c r="A256" s="6" t="s">
        <v>277</v>
      </c>
      <c r="B256" s="6" t="s">
        <v>271</v>
      </c>
      <c r="C256" s="6" t="s">
        <v>274</v>
      </c>
      <c r="D256" s="6" t="s">
        <v>85</v>
      </c>
      <c r="E256" s="6">
        <v>146354</v>
      </c>
      <c r="F256" s="7">
        <v>46167.483668981484</v>
      </c>
    </row>
    <row r="257" spans="1:6" ht="15.75" customHeight="1" x14ac:dyDescent="0.25">
      <c r="A257" s="6" t="s">
        <v>278</v>
      </c>
      <c r="B257" s="6" t="s">
        <v>271</v>
      </c>
      <c r="C257" s="6" t="s">
        <v>274</v>
      </c>
      <c r="D257" s="6" t="s">
        <v>142</v>
      </c>
      <c r="E257" s="6" t="s">
        <v>51</v>
      </c>
      <c r="F257" s="7">
        <v>46167.483819444446</v>
      </c>
    </row>
    <row r="258" spans="1:6" ht="15.75" customHeight="1" x14ac:dyDescent="0.25">
      <c r="A258" s="6" t="s">
        <v>278</v>
      </c>
      <c r="B258" s="6" t="s">
        <v>271</v>
      </c>
      <c r="C258" s="6" t="s">
        <v>274</v>
      </c>
      <c r="D258" s="6" t="s">
        <v>143</v>
      </c>
      <c r="F258" s="7">
        <v>46167.483912037038</v>
      </c>
    </row>
    <row r="259" spans="1:6" ht="15.75" customHeight="1" x14ac:dyDescent="0.25">
      <c r="A259" s="6" t="s">
        <v>278</v>
      </c>
      <c r="B259" s="6" t="s">
        <v>271</v>
      </c>
      <c r="C259" s="6" t="s">
        <v>274</v>
      </c>
      <c r="D259" s="6" t="s">
        <v>143</v>
      </c>
      <c r="E259" s="6">
        <v>0</v>
      </c>
      <c r="F259" s="7">
        <v>46167.484016203707</v>
      </c>
    </row>
    <row r="260" spans="1:6" ht="15.75" customHeight="1" x14ac:dyDescent="0.25">
      <c r="A260" s="6" t="s">
        <v>84</v>
      </c>
      <c r="B260" s="6" t="s">
        <v>271</v>
      </c>
      <c r="C260" s="6" t="s">
        <v>273</v>
      </c>
      <c r="D260" s="6" t="s">
        <v>85</v>
      </c>
      <c r="F260" s="7">
        <v>46167.484131944446</v>
      </c>
    </row>
    <row r="261" spans="1:6" ht="15.75" customHeight="1" x14ac:dyDescent="0.25">
      <c r="A261" s="6" t="s">
        <v>84</v>
      </c>
      <c r="B261" s="6" t="s">
        <v>271</v>
      </c>
      <c r="C261" s="6" t="s">
        <v>273</v>
      </c>
      <c r="D261" s="6" t="s">
        <v>85</v>
      </c>
      <c r="F261" s="7">
        <v>46167.484224537038</v>
      </c>
    </row>
    <row r="262" spans="1:6" ht="15.75" customHeight="1" x14ac:dyDescent="0.25">
      <c r="A262" s="6" t="s">
        <v>84</v>
      </c>
      <c r="B262" s="6" t="s">
        <v>271</v>
      </c>
      <c r="C262" s="6" t="s">
        <v>273</v>
      </c>
      <c r="D262" s="6" t="s">
        <v>85</v>
      </c>
      <c r="F262" s="7">
        <v>46167.484259259261</v>
      </c>
    </row>
    <row r="263" spans="1:6" ht="15.75" customHeight="1" x14ac:dyDescent="0.25">
      <c r="A263" s="6" t="s">
        <v>84</v>
      </c>
      <c r="B263" s="6" t="s">
        <v>271</v>
      </c>
      <c r="C263" s="6" t="s">
        <v>273</v>
      </c>
      <c r="D263" s="6" t="s">
        <v>85</v>
      </c>
      <c r="F263" s="7">
        <v>46167.484282407408</v>
      </c>
    </row>
    <row r="264" spans="1:6" ht="15.75" customHeight="1" x14ac:dyDescent="0.25">
      <c r="A264" s="6" t="s">
        <v>84</v>
      </c>
      <c r="B264" s="6" t="s">
        <v>271</v>
      </c>
      <c r="C264" s="6" t="s">
        <v>273</v>
      </c>
      <c r="D264" s="6" t="s">
        <v>85</v>
      </c>
      <c r="F264" s="7">
        <v>46167.484317129631</v>
      </c>
    </row>
    <row r="265" spans="1:6" ht="15.75" customHeight="1" x14ac:dyDescent="0.25">
      <c r="A265" s="6" t="s">
        <v>84</v>
      </c>
      <c r="B265" s="6" t="s">
        <v>271</v>
      </c>
      <c r="C265" s="6" t="s">
        <v>273</v>
      </c>
      <c r="D265" s="6" t="s">
        <v>85</v>
      </c>
      <c r="F265" s="7">
        <v>46167.484409722223</v>
      </c>
    </row>
    <row r="266" spans="1:6" ht="15.75" customHeight="1" x14ac:dyDescent="0.25">
      <c r="A266" s="6" t="s">
        <v>283</v>
      </c>
      <c r="B266" s="6" t="s">
        <v>83</v>
      </c>
      <c r="C266" s="6" t="s">
        <v>281</v>
      </c>
      <c r="D266" s="6" t="s">
        <v>85</v>
      </c>
      <c r="E266" s="6" t="s">
        <v>282</v>
      </c>
      <c r="F266" s="7">
        <v>46167.593715277777</v>
      </c>
    </row>
    <row r="267" spans="1:6" ht="15.75" customHeight="1" x14ac:dyDescent="0.25">
      <c r="A267" s="6" t="s">
        <v>283</v>
      </c>
      <c r="B267" s="6" t="s">
        <v>83</v>
      </c>
      <c r="C267" s="6" t="s">
        <v>281</v>
      </c>
      <c r="D267" s="6" t="s">
        <v>85</v>
      </c>
      <c r="E267" s="6" t="s">
        <v>282</v>
      </c>
      <c r="F267" s="7">
        <v>46167.593773148146</v>
      </c>
    </row>
    <row r="268" spans="1:6" ht="15.75" customHeight="1" x14ac:dyDescent="0.25">
      <c r="A268" s="6" t="s">
        <v>283</v>
      </c>
      <c r="B268" s="6" t="s">
        <v>83</v>
      </c>
      <c r="C268" s="6" t="s">
        <v>281</v>
      </c>
      <c r="D268" s="6" t="s">
        <v>85</v>
      </c>
      <c r="E268" s="6" t="s">
        <v>282</v>
      </c>
      <c r="F268" s="7">
        <v>46167.593831018516</v>
      </c>
    </row>
    <row r="269" spans="1:6" ht="15.75" customHeight="1" x14ac:dyDescent="0.25">
      <c r="A269" s="6" t="s">
        <v>285</v>
      </c>
      <c r="B269" s="6" t="s">
        <v>83</v>
      </c>
      <c r="C269" s="6" t="s">
        <v>255</v>
      </c>
      <c r="D269" s="6" t="s">
        <v>85</v>
      </c>
      <c r="E269" s="6" t="s">
        <v>284</v>
      </c>
      <c r="F269" s="7">
        <v>46167.593958333331</v>
      </c>
    </row>
    <row r="270" spans="1:6" ht="15.75" customHeight="1" x14ac:dyDescent="0.25">
      <c r="A270" s="6" t="s">
        <v>287</v>
      </c>
      <c r="B270" s="6" t="s">
        <v>83</v>
      </c>
      <c r="C270" s="6" t="s">
        <v>255</v>
      </c>
      <c r="D270" s="6" t="s">
        <v>85</v>
      </c>
      <c r="E270" s="6" t="s">
        <v>286</v>
      </c>
      <c r="F270" s="7">
        <v>46167.594039351854</v>
      </c>
    </row>
    <row r="271" spans="1:6" ht="15.75" customHeight="1" x14ac:dyDescent="0.25">
      <c r="A271" s="6" t="s">
        <v>287</v>
      </c>
      <c r="B271" s="6" t="s">
        <v>83</v>
      </c>
      <c r="C271" s="6" t="s">
        <v>255</v>
      </c>
      <c r="D271" s="6" t="s">
        <v>85</v>
      </c>
      <c r="E271" s="6" t="s">
        <v>286</v>
      </c>
      <c r="F271" s="7">
        <v>46167.594085648147</v>
      </c>
    </row>
    <row r="272" spans="1:6" ht="15.75" customHeight="1" x14ac:dyDescent="0.25">
      <c r="A272" s="6" t="s">
        <v>287</v>
      </c>
      <c r="B272" s="6" t="s">
        <v>83</v>
      </c>
      <c r="C272" s="6" t="s">
        <v>255</v>
      </c>
      <c r="D272" s="6" t="s">
        <v>85</v>
      </c>
      <c r="E272" s="6" t="s">
        <v>286</v>
      </c>
      <c r="F272" s="7">
        <v>46167.594143518516</v>
      </c>
    </row>
    <row r="273" spans="1:6" ht="15.75" customHeight="1" x14ac:dyDescent="0.25">
      <c r="A273" s="6" t="s">
        <v>136</v>
      </c>
      <c r="B273" s="6" t="s">
        <v>83</v>
      </c>
      <c r="C273" s="6" t="s">
        <v>254</v>
      </c>
      <c r="D273" s="6" t="s">
        <v>85</v>
      </c>
      <c r="E273" s="6" t="s">
        <v>52</v>
      </c>
      <c r="F273" s="7">
        <v>46167.594224537039</v>
      </c>
    </row>
    <row r="274" spans="1:6" ht="15.75" customHeight="1" x14ac:dyDescent="0.25">
      <c r="A274" s="6" t="s">
        <v>100</v>
      </c>
      <c r="B274" s="6" t="s">
        <v>83</v>
      </c>
      <c r="C274" s="6" t="s">
        <v>254</v>
      </c>
      <c r="D274" s="6" t="s">
        <v>85</v>
      </c>
      <c r="E274" s="6" t="s">
        <v>53</v>
      </c>
      <c r="F274" s="7">
        <v>46167.594259259262</v>
      </c>
    </row>
    <row r="275" spans="1:6" ht="15.75" customHeight="1" x14ac:dyDescent="0.25">
      <c r="A275" s="6" t="s">
        <v>139</v>
      </c>
      <c r="B275" s="6" t="s">
        <v>83</v>
      </c>
      <c r="C275" s="6" t="s">
        <v>254</v>
      </c>
      <c r="D275" s="6" t="s">
        <v>85</v>
      </c>
      <c r="E275" s="6" t="s">
        <v>54</v>
      </c>
      <c r="F275" s="7">
        <v>46167.594340277778</v>
      </c>
    </row>
    <row r="276" spans="1:6" ht="15.75" customHeight="1" x14ac:dyDescent="0.25">
      <c r="A276" s="6" t="s">
        <v>138</v>
      </c>
      <c r="B276" s="6" t="s">
        <v>83</v>
      </c>
      <c r="C276" s="6" t="s">
        <v>254</v>
      </c>
      <c r="D276" s="6" t="s">
        <v>85</v>
      </c>
      <c r="E276" s="6" t="s">
        <v>55</v>
      </c>
      <c r="F276" s="7">
        <v>46167.594409722224</v>
      </c>
    </row>
    <row r="277" spans="1:6" ht="15.75" customHeight="1" x14ac:dyDescent="0.25">
      <c r="A277" s="6" t="s">
        <v>84</v>
      </c>
      <c r="B277" s="6" t="s">
        <v>83</v>
      </c>
      <c r="C277" s="6" t="s">
        <v>280</v>
      </c>
      <c r="D277" s="6" t="s">
        <v>85</v>
      </c>
      <c r="F277" s="7">
        <v>46167.594606481478</v>
      </c>
    </row>
    <row r="278" spans="1:6" ht="15.75" customHeight="1" x14ac:dyDescent="0.25">
      <c r="A278" s="6" t="s">
        <v>84</v>
      </c>
      <c r="B278" s="6" t="s">
        <v>83</v>
      </c>
      <c r="C278" s="6" t="s">
        <v>280</v>
      </c>
      <c r="D278" s="6" t="s">
        <v>85</v>
      </c>
      <c r="F278" s="7">
        <v>46167.594652777778</v>
      </c>
    </row>
    <row r="279" spans="1:6" ht="15.75" customHeight="1" x14ac:dyDescent="0.25">
      <c r="A279" s="6" t="s">
        <v>84</v>
      </c>
      <c r="B279" s="6" t="s">
        <v>83</v>
      </c>
      <c r="C279" s="6" t="s">
        <v>280</v>
      </c>
      <c r="D279" s="6" t="s">
        <v>85</v>
      </c>
      <c r="F279" s="7">
        <v>46167.594675925924</v>
      </c>
    </row>
    <row r="280" spans="1:6" ht="15.75" customHeight="1" x14ac:dyDescent="0.25">
      <c r="A280" s="6" t="s">
        <v>84</v>
      </c>
      <c r="B280" s="6" t="s">
        <v>83</v>
      </c>
      <c r="C280" s="6" t="s">
        <v>280</v>
      </c>
      <c r="D280" s="6" t="s">
        <v>85</v>
      </c>
      <c r="F280" s="7">
        <v>46167.594699074078</v>
      </c>
    </row>
    <row r="281" spans="1:6" ht="15.75" customHeight="1" x14ac:dyDescent="0.25">
      <c r="A281" s="6" t="s">
        <v>293</v>
      </c>
      <c r="B281" s="6" t="s">
        <v>288</v>
      </c>
      <c r="C281" s="6" t="s">
        <v>290</v>
      </c>
      <c r="D281" s="6" t="s">
        <v>85</v>
      </c>
      <c r="E281" s="6" t="s">
        <v>292</v>
      </c>
      <c r="F281" s="7">
        <v>46167.595671296294</v>
      </c>
    </row>
    <row r="282" spans="1:6" ht="15.75" customHeight="1" x14ac:dyDescent="0.25">
      <c r="A282" s="6" t="s">
        <v>293</v>
      </c>
      <c r="B282" s="6" t="s">
        <v>288</v>
      </c>
      <c r="C282" s="6" t="s">
        <v>290</v>
      </c>
      <c r="D282" s="6" t="s">
        <v>85</v>
      </c>
      <c r="E282" s="6" t="s">
        <v>292</v>
      </c>
      <c r="F282" s="7">
        <v>46167.595729166664</v>
      </c>
    </row>
    <row r="283" spans="1:6" ht="15.75" customHeight="1" x14ac:dyDescent="0.25">
      <c r="A283" s="6" t="s">
        <v>293</v>
      </c>
      <c r="B283" s="6" t="s">
        <v>288</v>
      </c>
      <c r="C283" s="6" t="s">
        <v>290</v>
      </c>
      <c r="D283" s="6" t="s">
        <v>85</v>
      </c>
      <c r="E283" s="6" t="s">
        <v>292</v>
      </c>
      <c r="F283" s="7">
        <v>46167.59578703704</v>
      </c>
    </row>
    <row r="284" spans="1:6" ht="15.75" customHeight="1" x14ac:dyDescent="0.25">
      <c r="A284" s="6" t="s">
        <v>295</v>
      </c>
      <c r="B284" s="6" t="s">
        <v>288</v>
      </c>
      <c r="C284" s="6" t="s">
        <v>291</v>
      </c>
      <c r="D284" s="6" t="s">
        <v>85</v>
      </c>
      <c r="E284" s="6" t="s">
        <v>294</v>
      </c>
      <c r="F284" s="7">
        <v>46167.595868055556</v>
      </c>
    </row>
    <row r="285" spans="1:6" ht="15.75" customHeight="1" x14ac:dyDescent="0.25">
      <c r="A285" s="6" t="s">
        <v>295</v>
      </c>
      <c r="B285" s="6" t="s">
        <v>288</v>
      </c>
      <c r="C285" s="6" t="s">
        <v>291</v>
      </c>
      <c r="D285" s="6" t="s">
        <v>85</v>
      </c>
      <c r="E285" s="6" t="s">
        <v>294</v>
      </c>
      <c r="F285" s="7">
        <v>46167.595914351848</v>
      </c>
    </row>
    <row r="286" spans="1:6" ht="15.75" customHeight="1" x14ac:dyDescent="0.25">
      <c r="A286" s="6" t="s">
        <v>295</v>
      </c>
      <c r="B286" s="6" t="s">
        <v>288</v>
      </c>
      <c r="C286" s="6" t="s">
        <v>291</v>
      </c>
      <c r="D286" s="6" t="s">
        <v>85</v>
      </c>
      <c r="E286" s="6" t="s">
        <v>294</v>
      </c>
      <c r="F286" s="7">
        <v>46167.596006944441</v>
      </c>
    </row>
    <row r="287" spans="1:6" ht="15.75" customHeight="1" x14ac:dyDescent="0.25">
      <c r="A287" s="6" t="s">
        <v>136</v>
      </c>
      <c r="B287" s="6" t="s">
        <v>288</v>
      </c>
      <c r="C287" s="6" t="s">
        <v>259</v>
      </c>
      <c r="D287" s="6" t="s">
        <v>85</v>
      </c>
      <c r="E287" s="6" t="s">
        <v>52</v>
      </c>
      <c r="F287" s="7">
        <v>46167.596099537041</v>
      </c>
    </row>
    <row r="288" spans="1:6" ht="15.75" customHeight="1" x14ac:dyDescent="0.25">
      <c r="A288" s="6" t="s">
        <v>100</v>
      </c>
      <c r="B288" s="6" t="s">
        <v>288</v>
      </c>
      <c r="C288" s="6" t="s">
        <v>259</v>
      </c>
      <c r="D288" s="6" t="s">
        <v>85</v>
      </c>
      <c r="E288" s="6" t="s">
        <v>53</v>
      </c>
      <c r="F288" s="7">
        <v>46167.596134259256</v>
      </c>
    </row>
    <row r="289" spans="1:6" ht="15.75" customHeight="1" x14ac:dyDescent="0.25">
      <c r="A289" s="6" t="s">
        <v>139</v>
      </c>
      <c r="B289" s="6" t="s">
        <v>288</v>
      </c>
      <c r="C289" s="6" t="s">
        <v>259</v>
      </c>
      <c r="D289" s="6" t="s">
        <v>85</v>
      </c>
      <c r="E289" s="6" t="s">
        <v>54</v>
      </c>
      <c r="F289" s="7">
        <v>46167.59615740741</v>
      </c>
    </row>
    <row r="290" spans="1:6" ht="15.75" customHeight="1" x14ac:dyDescent="0.25">
      <c r="A290" s="6" t="s">
        <v>84</v>
      </c>
      <c r="B290" s="6" t="s">
        <v>288</v>
      </c>
      <c r="C290" s="6" t="s">
        <v>289</v>
      </c>
      <c r="D290" s="6" t="s">
        <v>85</v>
      </c>
      <c r="F290" s="7">
        <v>46167.596238425926</v>
      </c>
    </row>
    <row r="291" spans="1:6" ht="15.75" customHeight="1" x14ac:dyDescent="0.25">
      <c r="A291" s="6" t="s">
        <v>84</v>
      </c>
      <c r="B291" s="6" t="s">
        <v>288</v>
      </c>
      <c r="C291" s="6" t="s">
        <v>289</v>
      </c>
      <c r="D291" s="6" t="s">
        <v>85</v>
      </c>
      <c r="F291" s="7">
        <v>46167.596307870372</v>
      </c>
    </row>
    <row r="292" spans="1:6" ht="15.75" customHeight="1" x14ac:dyDescent="0.25">
      <c r="A292" s="6" t="s">
        <v>84</v>
      </c>
      <c r="B292" s="6" t="s">
        <v>288</v>
      </c>
      <c r="C292" s="6" t="s">
        <v>289</v>
      </c>
      <c r="D292" s="6" t="s">
        <v>85</v>
      </c>
      <c r="F292" s="7">
        <v>46167.596342592595</v>
      </c>
    </row>
    <row r="293" spans="1:6" ht="15.75" customHeight="1" x14ac:dyDescent="0.25">
      <c r="A293" s="6" t="s">
        <v>84</v>
      </c>
      <c r="B293" s="6" t="s">
        <v>288</v>
      </c>
      <c r="C293" s="6" t="s">
        <v>289</v>
      </c>
      <c r="D293" s="6" t="s">
        <v>85</v>
      </c>
      <c r="F293" s="7">
        <v>46167.596354166664</v>
      </c>
    </row>
    <row r="294" spans="1:6" ht="15.75" customHeight="1" x14ac:dyDescent="0.25">
      <c r="A294" s="6" t="s">
        <v>84</v>
      </c>
      <c r="B294" s="6" t="s">
        <v>296</v>
      </c>
      <c r="C294" s="6" t="s">
        <v>298</v>
      </c>
      <c r="D294" s="6" t="s">
        <v>85</v>
      </c>
      <c r="F294" s="7">
        <v>46167.598506944443</v>
      </c>
    </row>
    <row r="295" spans="1:6" ht="15.75" customHeight="1" x14ac:dyDescent="0.25">
      <c r="A295" s="6" t="s">
        <v>84</v>
      </c>
      <c r="B295" s="6" t="s">
        <v>296</v>
      </c>
      <c r="C295" s="6" t="s">
        <v>298</v>
      </c>
      <c r="D295" s="6" t="s">
        <v>85</v>
      </c>
      <c r="F295" s="7">
        <v>46167.598541666666</v>
      </c>
    </row>
    <row r="296" spans="1:6" ht="15.75" customHeight="1" x14ac:dyDescent="0.25">
      <c r="A296" s="6" t="s">
        <v>84</v>
      </c>
      <c r="B296" s="6" t="s">
        <v>296</v>
      </c>
      <c r="C296" s="6" t="s">
        <v>298</v>
      </c>
      <c r="D296" s="6" t="s">
        <v>85</v>
      </c>
      <c r="F296" s="7">
        <v>46167.598599537036</v>
      </c>
    </row>
    <row r="297" spans="1:6" ht="15.75" customHeight="1" x14ac:dyDescent="0.25">
      <c r="A297" s="6" t="s">
        <v>84</v>
      </c>
      <c r="B297" s="6" t="s">
        <v>296</v>
      </c>
      <c r="C297" s="6" t="s">
        <v>299</v>
      </c>
      <c r="D297" s="6" t="s">
        <v>85</v>
      </c>
      <c r="F297" s="7">
        <v>46167.598668981482</v>
      </c>
    </row>
    <row r="298" spans="1:6" ht="15.75" customHeight="1" x14ac:dyDescent="0.25">
      <c r="A298" s="6" t="s">
        <v>84</v>
      </c>
      <c r="B298" s="6" t="s">
        <v>296</v>
      </c>
      <c r="C298" s="6" t="s">
        <v>299</v>
      </c>
      <c r="D298" s="6" t="s">
        <v>85</v>
      </c>
      <c r="F298" s="7">
        <v>46167.598703703705</v>
      </c>
    </row>
    <row r="299" spans="1:6" ht="15.75" customHeight="1" x14ac:dyDescent="0.25">
      <c r="A299" s="6" t="s">
        <v>136</v>
      </c>
      <c r="B299" s="6" t="s">
        <v>296</v>
      </c>
      <c r="C299" s="6" t="s">
        <v>262</v>
      </c>
      <c r="D299" s="6" t="s">
        <v>85</v>
      </c>
      <c r="E299" s="6" t="s">
        <v>52</v>
      </c>
      <c r="F299" s="7">
        <v>46167.598761574074</v>
      </c>
    </row>
    <row r="300" spans="1:6" ht="15.75" customHeight="1" x14ac:dyDescent="0.25">
      <c r="A300" s="6" t="s">
        <v>136</v>
      </c>
      <c r="B300" s="6" t="s">
        <v>296</v>
      </c>
      <c r="C300" s="6" t="s">
        <v>262</v>
      </c>
      <c r="D300" s="6" t="s">
        <v>85</v>
      </c>
      <c r="E300" s="6" t="s">
        <v>52</v>
      </c>
      <c r="F300" s="7">
        <v>46167.59884259259</v>
      </c>
    </row>
    <row r="301" spans="1:6" ht="15.75" customHeight="1" x14ac:dyDescent="0.25">
      <c r="A301" s="6" t="s">
        <v>100</v>
      </c>
      <c r="B301" s="6" t="s">
        <v>296</v>
      </c>
      <c r="C301" s="6" t="s">
        <v>262</v>
      </c>
      <c r="D301" s="6" t="s">
        <v>85</v>
      </c>
      <c r="E301" s="6" t="s">
        <v>53</v>
      </c>
      <c r="F301" s="7">
        <v>46167.598877314813</v>
      </c>
    </row>
    <row r="302" spans="1:6" ht="15.75" customHeight="1" x14ac:dyDescent="0.25">
      <c r="A302" s="6" t="s">
        <v>84</v>
      </c>
      <c r="B302" s="6" t="s">
        <v>296</v>
      </c>
      <c r="C302" s="6" t="s">
        <v>297</v>
      </c>
      <c r="D302" s="6" t="s">
        <v>85</v>
      </c>
      <c r="F302" s="7">
        <v>46167.598946759259</v>
      </c>
    </row>
    <row r="303" spans="1:6" ht="15.75" customHeight="1" x14ac:dyDescent="0.25">
      <c r="A303" s="6" t="s">
        <v>84</v>
      </c>
      <c r="B303" s="6" t="s">
        <v>296</v>
      </c>
      <c r="C303" s="6" t="s">
        <v>297</v>
      </c>
      <c r="D303" s="6" t="s">
        <v>85</v>
      </c>
      <c r="F303" s="7">
        <v>46167.599016203705</v>
      </c>
    </row>
    <row r="304" spans="1:6" ht="15.75" customHeight="1" x14ac:dyDescent="0.25">
      <c r="A304" s="6" t="s">
        <v>84</v>
      </c>
      <c r="B304" s="6" t="s">
        <v>296</v>
      </c>
      <c r="C304" s="6" t="s">
        <v>297</v>
      </c>
      <c r="D304" s="6" t="s">
        <v>85</v>
      </c>
      <c r="F304" s="7">
        <v>46167.599039351851</v>
      </c>
    </row>
    <row r="305" spans="1:6" ht="15.75" customHeight="1" x14ac:dyDescent="0.25">
      <c r="A305" s="6" t="s">
        <v>84</v>
      </c>
      <c r="B305" s="6" t="s">
        <v>296</v>
      </c>
      <c r="C305" s="6" t="s">
        <v>297</v>
      </c>
      <c r="D305" s="6" t="s">
        <v>85</v>
      </c>
      <c r="F305" s="7">
        <v>46167.599062499998</v>
      </c>
    </row>
    <row r="306" spans="1:6" ht="15.75" customHeight="1" x14ac:dyDescent="0.25">
      <c r="A306" s="6" t="s">
        <v>138</v>
      </c>
      <c r="B306" s="6" t="s">
        <v>279</v>
      </c>
      <c r="C306" s="6" t="s">
        <v>310</v>
      </c>
      <c r="D306" s="6" t="s">
        <v>85</v>
      </c>
      <c r="E306" s="6" t="s">
        <v>55</v>
      </c>
      <c r="F306" s="7">
        <v>46167.697210648148</v>
      </c>
    </row>
    <row r="307" spans="1:6" ht="15.75" customHeight="1" x14ac:dyDescent="0.25">
      <c r="A307" s="6" t="s">
        <v>84</v>
      </c>
      <c r="B307" s="6" t="s">
        <v>279</v>
      </c>
      <c r="C307" s="6" t="s">
        <v>311</v>
      </c>
      <c r="D307" s="6" t="s">
        <v>85</v>
      </c>
      <c r="F307" s="7">
        <v>46167.697314814817</v>
      </c>
    </row>
    <row r="308" spans="1:6" ht="15.75" customHeight="1" x14ac:dyDescent="0.25">
      <c r="A308" s="6" t="s">
        <v>84</v>
      </c>
      <c r="B308" s="6" t="s">
        <v>279</v>
      </c>
      <c r="C308" s="6" t="s">
        <v>311</v>
      </c>
      <c r="D308" s="6" t="s">
        <v>85</v>
      </c>
      <c r="F308" s="7">
        <v>46167.697337962964</v>
      </c>
    </row>
    <row r="309" spans="1:6" ht="15.75" customHeight="1" x14ac:dyDescent="0.25">
      <c r="A309" s="6" t="s">
        <v>138</v>
      </c>
      <c r="B309" s="6" t="s">
        <v>279</v>
      </c>
      <c r="C309" s="6" t="s">
        <v>310</v>
      </c>
      <c r="D309" s="6" t="s">
        <v>85</v>
      </c>
      <c r="E309" s="6" t="s">
        <v>55</v>
      </c>
      <c r="F309" s="7">
        <v>46167.697465277779</v>
      </c>
    </row>
    <row r="310" spans="1:6" ht="15.75" customHeight="1" x14ac:dyDescent="0.25">
      <c r="A310" s="6" t="s">
        <v>138</v>
      </c>
      <c r="B310" s="6" t="s">
        <v>279</v>
      </c>
      <c r="C310" s="6" t="s">
        <v>310</v>
      </c>
      <c r="D310" s="6" t="s">
        <v>85</v>
      </c>
      <c r="E310" s="6" t="s">
        <v>55</v>
      </c>
      <c r="F310" s="7">
        <v>46167.697476851848</v>
      </c>
    </row>
    <row r="311" spans="1:6" ht="15.75" customHeight="1" x14ac:dyDescent="0.25">
      <c r="A311" s="6" t="s">
        <v>84</v>
      </c>
      <c r="B311" s="6" t="s">
        <v>279</v>
      </c>
      <c r="C311" s="6" t="s">
        <v>311</v>
      </c>
      <c r="D311" s="6" t="s">
        <v>85</v>
      </c>
      <c r="F311" s="7">
        <v>46167.697546296295</v>
      </c>
    </row>
    <row r="312" spans="1:6" ht="15.75" customHeight="1" x14ac:dyDescent="0.25">
      <c r="A312" s="6" t="s">
        <v>84</v>
      </c>
      <c r="B312" s="6" t="s">
        <v>279</v>
      </c>
      <c r="C312" s="6" t="s">
        <v>311</v>
      </c>
      <c r="D312" s="6" t="s">
        <v>85</v>
      </c>
      <c r="F312" s="7">
        <v>46167.697604166664</v>
      </c>
    </row>
    <row r="313" spans="1:6" ht="15.75" customHeight="1" x14ac:dyDescent="0.25">
      <c r="A313" s="6" t="s">
        <v>174</v>
      </c>
      <c r="B313" s="6" t="s">
        <v>302</v>
      </c>
      <c r="C313" s="6" t="s">
        <v>315</v>
      </c>
      <c r="D313" s="6" t="s">
        <v>85</v>
      </c>
      <c r="E313" s="6" t="s">
        <v>65</v>
      </c>
      <c r="F313" s="7">
        <v>46167.715254629627</v>
      </c>
    </row>
    <row r="314" spans="1:6" ht="15.75" customHeight="1" x14ac:dyDescent="0.25">
      <c r="A314" s="6" t="s">
        <v>174</v>
      </c>
      <c r="B314" s="6" t="s">
        <v>302</v>
      </c>
      <c r="C314" s="6" t="s">
        <v>315</v>
      </c>
      <c r="D314" s="6" t="s">
        <v>85</v>
      </c>
      <c r="E314" s="6" t="s">
        <v>65</v>
      </c>
      <c r="F314" s="7">
        <v>46167.715277777781</v>
      </c>
    </row>
    <row r="315" spans="1:6" ht="15.75" customHeight="1" x14ac:dyDescent="0.25">
      <c r="A315" s="6" t="s">
        <v>136</v>
      </c>
      <c r="B315" s="6" t="s">
        <v>279</v>
      </c>
      <c r="C315" s="6" t="s">
        <v>316</v>
      </c>
      <c r="D315" s="6" t="s">
        <v>85</v>
      </c>
      <c r="E315" s="6" t="s">
        <v>52</v>
      </c>
      <c r="F315" s="7">
        <v>46168.376689814817</v>
      </c>
    </row>
    <row r="316" spans="1:6" ht="15.75" customHeight="1" x14ac:dyDescent="0.25">
      <c r="A316" s="6" t="s">
        <v>100</v>
      </c>
      <c r="B316" s="6" t="s">
        <v>279</v>
      </c>
      <c r="C316" s="6" t="s">
        <v>316</v>
      </c>
      <c r="D316" s="6" t="s">
        <v>85</v>
      </c>
      <c r="E316" s="6" t="s">
        <v>53</v>
      </c>
      <c r="F316" s="7">
        <v>46168.37672453704</v>
      </c>
    </row>
    <row r="317" spans="1:6" ht="15.75" customHeight="1" x14ac:dyDescent="0.25">
      <c r="A317" s="6" t="s">
        <v>138</v>
      </c>
      <c r="B317" s="6" t="s">
        <v>318</v>
      </c>
      <c r="C317" s="6" t="s">
        <v>319</v>
      </c>
      <c r="D317" s="6" t="s">
        <v>85</v>
      </c>
      <c r="E317" s="6" t="s">
        <v>55</v>
      </c>
      <c r="F317" s="7">
        <v>46168.688738425924</v>
      </c>
    </row>
    <row r="318" spans="1:6" ht="15.75" customHeight="1" x14ac:dyDescent="0.25">
      <c r="A318" s="6" t="s">
        <v>100</v>
      </c>
      <c r="B318" s="6" t="s">
        <v>320</v>
      </c>
      <c r="C318" s="6" t="s">
        <v>321</v>
      </c>
      <c r="D318" s="6" t="s">
        <v>85</v>
      </c>
      <c r="E318" s="6" t="s">
        <v>53</v>
      </c>
      <c r="F318" s="7">
        <v>46168.688993055555</v>
      </c>
    </row>
    <row r="319" spans="1:6" ht="15.75" customHeight="1" x14ac:dyDescent="0.25">
      <c r="A319" s="6" t="s">
        <v>139</v>
      </c>
      <c r="B319" s="6" t="s">
        <v>320</v>
      </c>
      <c r="C319" s="6" t="s">
        <v>321</v>
      </c>
      <c r="D319" s="6" t="s">
        <v>85</v>
      </c>
      <c r="E319" s="6" t="s">
        <v>54</v>
      </c>
      <c r="F319" s="7">
        <v>46168.689016203702</v>
      </c>
    </row>
    <row r="320" spans="1:6" ht="15.75" customHeight="1" x14ac:dyDescent="0.25">
      <c r="A320" s="6" t="s">
        <v>100</v>
      </c>
      <c r="B320" s="6" t="s">
        <v>279</v>
      </c>
      <c r="C320" s="6" t="s">
        <v>322</v>
      </c>
      <c r="D320" s="6" t="s">
        <v>85</v>
      </c>
      <c r="E320" s="6" t="s">
        <v>53</v>
      </c>
      <c r="F320" s="7">
        <v>46168.69085648148</v>
      </c>
    </row>
    <row r="321" spans="1:6" ht="15.75" customHeight="1" x14ac:dyDescent="0.25">
      <c r="A321" s="6" t="s">
        <v>136</v>
      </c>
      <c r="B321" s="6" t="s">
        <v>279</v>
      </c>
      <c r="C321" s="6" t="s">
        <v>322</v>
      </c>
      <c r="D321" s="6" t="s">
        <v>85</v>
      </c>
      <c r="E321" s="6" t="s">
        <v>52</v>
      </c>
      <c r="F321" s="7">
        <v>46168.691689814812</v>
      </c>
    </row>
    <row r="322" spans="1:6" ht="15.75" customHeight="1" x14ac:dyDescent="0.25">
      <c r="A322" s="6" t="s">
        <v>100</v>
      </c>
      <c r="B322" s="6" t="s">
        <v>324</v>
      </c>
      <c r="C322" s="6" t="s">
        <v>325</v>
      </c>
      <c r="D322" s="6" t="s">
        <v>85</v>
      </c>
      <c r="E322" s="6" t="s">
        <v>53</v>
      </c>
      <c r="F322" s="7">
        <v>46170.560428240744</v>
      </c>
    </row>
    <row r="323" spans="1:6" ht="15.75" customHeight="1" x14ac:dyDescent="0.25">
      <c r="A323" s="6" t="s">
        <v>138</v>
      </c>
      <c r="B323" s="6" t="s">
        <v>51</v>
      </c>
      <c r="C323" s="6" t="s">
        <v>316</v>
      </c>
      <c r="D323" s="6" t="s">
        <v>85</v>
      </c>
      <c r="E323" s="6" t="s">
        <v>55</v>
      </c>
      <c r="F323" s="7">
        <v>46170.560474537036</v>
      </c>
    </row>
    <row r="324" spans="1:6" ht="15.75" customHeight="1" x14ac:dyDescent="0.25">
      <c r="A324" s="6" t="s">
        <v>138</v>
      </c>
      <c r="B324" s="6" t="s">
        <v>326</v>
      </c>
      <c r="C324" s="6" t="s">
        <v>327</v>
      </c>
      <c r="D324" s="6" t="s">
        <v>85</v>
      </c>
      <c r="E324" s="6" t="s">
        <v>55</v>
      </c>
      <c r="F324" s="7">
        <v>46170.560601851852</v>
      </c>
    </row>
    <row r="325" spans="1:6" ht="15.75" customHeight="1" x14ac:dyDescent="0.25">
      <c r="A325" s="6" t="s">
        <v>100</v>
      </c>
      <c r="B325" s="6" t="s">
        <v>324</v>
      </c>
      <c r="C325" s="6" t="s">
        <v>325</v>
      </c>
      <c r="D325" s="6" t="s">
        <v>85</v>
      </c>
      <c r="E325" s="6" t="s">
        <v>53</v>
      </c>
      <c r="F325" s="7">
        <v>46170.561203703706</v>
      </c>
    </row>
    <row r="326" spans="1:6" ht="15.75" customHeight="1" x14ac:dyDescent="0.25">
      <c r="A326" s="6" t="s">
        <v>84</v>
      </c>
      <c r="B326" s="6" t="s">
        <v>51</v>
      </c>
      <c r="C326" s="6" t="s">
        <v>323</v>
      </c>
      <c r="D326" s="6" t="s">
        <v>85</v>
      </c>
      <c r="F326" s="7">
        <v>46170.565138888887</v>
      </c>
    </row>
    <row r="327" spans="1:6" ht="15.75" customHeight="1" x14ac:dyDescent="0.25">
      <c r="A327" s="6" t="s">
        <v>84</v>
      </c>
      <c r="B327" s="6" t="s">
        <v>51</v>
      </c>
      <c r="C327" s="6" t="s">
        <v>323</v>
      </c>
      <c r="D327" s="6" t="s">
        <v>85</v>
      </c>
      <c r="F327" s="7">
        <v>46170.565150462964</v>
      </c>
    </row>
    <row r="328" spans="1:6" ht="15.75" customHeight="1" x14ac:dyDescent="0.25">
      <c r="A328" s="6" t="s">
        <v>138</v>
      </c>
      <c r="B328" s="6" t="s">
        <v>51</v>
      </c>
      <c r="C328" s="6" t="s">
        <v>316</v>
      </c>
      <c r="D328" s="6" t="s">
        <v>85</v>
      </c>
      <c r="E328" s="6" t="s">
        <v>55</v>
      </c>
      <c r="F328" s="7">
        <v>46170.57440972222</v>
      </c>
    </row>
    <row r="329" spans="1:6" ht="15.75" customHeight="1" x14ac:dyDescent="0.25">
      <c r="A329" s="6" t="s">
        <v>138</v>
      </c>
      <c r="B329" s="6" t="s">
        <v>326</v>
      </c>
      <c r="C329" s="6" t="s">
        <v>327</v>
      </c>
      <c r="D329" s="6" t="s">
        <v>85</v>
      </c>
      <c r="E329" s="6" t="s">
        <v>55</v>
      </c>
      <c r="F329" s="7">
        <v>46170.574467592596</v>
      </c>
    </row>
    <row r="330" spans="1:6" ht="15.75" customHeight="1" x14ac:dyDescent="0.25">
      <c r="A330" s="6" t="s">
        <v>84</v>
      </c>
      <c r="B330" s="6" t="s">
        <v>51</v>
      </c>
      <c r="C330" s="6" t="s">
        <v>323</v>
      </c>
      <c r="D330" s="6" t="s">
        <v>85</v>
      </c>
      <c r="F330" s="7">
        <v>46170.575127314813</v>
      </c>
    </row>
    <row r="331" spans="1:6" ht="15.75" customHeight="1" x14ac:dyDescent="0.25">
      <c r="A331" s="6" t="s">
        <v>136</v>
      </c>
      <c r="B331" s="6" t="s">
        <v>296</v>
      </c>
      <c r="C331" s="6" t="s">
        <v>322</v>
      </c>
      <c r="D331" s="6" t="s">
        <v>85</v>
      </c>
      <c r="E331" s="6" t="s">
        <v>52</v>
      </c>
      <c r="F331" s="7">
        <v>46170.582719907405</v>
      </c>
    </row>
    <row r="332" spans="1:6" ht="15.75" customHeight="1" x14ac:dyDescent="0.25">
      <c r="A332" s="6" t="s">
        <v>100</v>
      </c>
      <c r="B332" s="6" t="s">
        <v>329</v>
      </c>
      <c r="C332" s="6" t="s">
        <v>197</v>
      </c>
      <c r="D332" s="6" t="s">
        <v>85</v>
      </c>
      <c r="E332" s="6" t="s">
        <v>53</v>
      </c>
      <c r="F332" s="7">
        <v>46170.583009259259</v>
      </c>
    </row>
    <row r="333" spans="1:6" ht="15.75" customHeight="1" x14ac:dyDescent="0.25">
      <c r="A333" s="6" t="s">
        <v>100</v>
      </c>
      <c r="B333" s="6" t="s">
        <v>329</v>
      </c>
      <c r="C333" s="6" t="s">
        <v>197</v>
      </c>
      <c r="D333" s="6" t="s">
        <v>85</v>
      </c>
      <c r="E333" s="6" t="s">
        <v>53</v>
      </c>
      <c r="F333" s="7">
        <v>46170.667071759257</v>
      </c>
    </row>
    <row r="334" spans="1:6" ht="15.75" customHeight="1" x14ac:dyDescent="0.25">
      <c r="A334" s="6" t="s">
        <v>136</v>
      </c>
      <c r="B334" s="6" t="s">
        <v>83</v>
      </c>
      <c r="C334" s="6" t="s">
        <v>359</v>
      </c>
      <c r="D334" s="6" t="s">
        <v>85</v>
      </c>
      <c r="E334" s="6" t="s">
        <v>52</v>
      </c>
      <c r="F334" s="7">
        <v>46170.66847222222</v>
      </c>
    </row>
    <row r="335" spans="1:6" ht="15.75" customHeight="1" x14ac:dyDescent="0.25">
      <c r="A335" s="6" t="s">
        <v>136</v>
      </c>
      <c r="B335" s="6" t="s">
        <v>361</v>
      </c>
      <c r="C335" s="6" t="s">
        <v>362</v>
      </c>
      <c r="D335" s="6" t="s">
        <v>85</v>
      </c>
      <c r="E335" s="6" t="s">
        <v>52</v>
      </c>
      <c r="F335" s="7">
        <v>46170.673784722225</v>
      </c>
    </row>
    <row r="336" spans="1:6" ht="15.75" customHeight="1" x14ac:dyDescent="0.25">
      <c r="A336" s="6" t="s">
        <v>84</v>
      </c>
      <c r="B336" s="6" t="s">
        <v>71</v>
      </c>
      <c r="C336" s="6" t="s">
        <v>363</v>
      </c>
      <c r="D336" s="6" t="s">
        <v>85</v>
      </c>
      <c r="F336" s="7">
        <v>46170.676145833335</v>
      </c>
    </row>
    <row r="337" spans="1:6" ht="15.75" customHeight="1" x14ac:dyDescent="0.25">
      <c r="A337" s="6" t="s">
        <v>84</v>
      </c>
      <c r="B337" s="6" t="s">
        <v>71</v>
      </c>
      <c r="C337" s="6" t="s">
        <v>363</v>
      </c>
      <c r="D337" s="6" t="s">
        <v>85</v>
      </c>
      <c r="F337" s="7">
        <v>46170.676145833335</v>
      </c>
    </row>
    <row r="338" spans="1:6" ht="15.75" customHeight="1" x14ac:dyDescent="0.25">
      <c r="A338" s="6" t="s">
        <v>84</v>
      </c>
      <c r="B338" s="6" t="s">
        <v>71</v>
      </c>
      <c r="C338" s="6" t="s">
        <v>363</v>
      </c>
      <c r="D338" s="6" t="s">
        <v>85</v>
      </c>
      <c r="F338" s="7">
        <v>46170.676145833335</v>
      </c>
    </row>
    <row r="339" spans="1:6" ht="15.75" customHeight="1" x14ac:dyDescent="0.25">
      <c r="A339" s="6" t="s">
        <v>84</v>
      </c>
      <c r="B339" s="6" t="s">
        <v>71</v>
      </c>
      <c r="C339" s="6" t="s">
        <v>363</v>
      </c>
      <c r="D339" s="6" t="s">
        <v>85</v>
      </c>
      <c r="F339" s="7">
        <v>46170.676145833335</v>
      </c>
    </row>
    <row r="340" spans="1:6" ht="15.75" customHeight="1" x14ac:dyDescent="0.25">
      <c r="A340" s="6" t="s">
        <v>84</v>
      </c>
      <c r="B340" s="6" t="s">
        <v>71</v>
      </c>
      <c r="C340" s="6" t="s">
        <v>363</v>
      </c>
      <c r="D340" s="6" t="s">
        <v>85</v>
      </c>
      <c r="F340" s="7">
        <v>46170.676145833335</v>
      </c>
    </row>
    <row r="341" spans="1:6" ht="15.75" customHeight="1" x14ac:dyDescent="0.25">
      <c r="A341" s="6" t="s">
        <v>84</v>
      </c>
      <c r="B341" s="6" t="s">
        <v>71</v>
      </c>
      <c r="C341" s="6" t="s">
        <v>363</v>
      </c>
      <c r="D341" s="6" t="s">
        <v>85</v>
      </c>
      <c r="F341" s="7">
        <v>46170.676145833335</v>
      </c>
    </row>
    <row r="342" spans="1:6" ht="15.75" customHeight="1" x14ac:dyDescent="0.25">
      <c r="A342" s="6" t="s">
        <v>84</v>
      </c>
      <c r="B342" s="6" t="s">
        <v>71</v>
      </c>
      <c r="C342" s="6" t="s">
        <v>363</v>
      </c>
      <c r="D342" s="6" t="s">
        <v>85</v>
      </c>
      <c r="F342" s="7">
        <v>46170.676249999997</v>
      </c>
    </row>
    <row r="343" spans="1:6" ht="15.75" customHeight="1" x14ac:dyDescent="0.25">
      <c r="A343" s="6" t="s">
        <v>84</v>
      </c>
      <c r="B343" s="6" t="s">
        <v>71</v>
      </c>
      <c r="C343" s="6" t="s">
        <v>363</v>
      </c>
      <c r="D343" s="6" t="s">
        <v>85</v>
      </c>
      <c r="F343" s="7">
        <v>46170.676249999997</v>
      </c>
    </row>
    <row r="344" spans="1:6" ht="15.75" customHeight="1" x14ac:dyDescent="0.25">
      <c r="A344" s="6" t="s">
        <v>84</v>
      </c>
      <c r="B344" s="6" t="s">
        <v>71</v>
      </c>
      <c r="C344" s="6" t="s">
        <v>363</v>
      </c>
      <c r="D344" s="6" t="s">
        <v>85</v>
      </c>
      <c r="F344" s="7">
        <v>46170.676249999997</v>
      </c>
    </row>
    <row r="345" spans="1:6" ht="15.75" customHeight="1" x14ac:dyDescent="0.25">
      <c r="A345" s="6" t="s">
        <v>84</v>
      </c>
      <c r="B345" s="6" t="s">
        <v>71</v>
      </c>
      <c r="C345" s="6" t="s">
        <v>363</v>
      </c>
      <c r="D345" s="6" t="s">
        <v>85</v>
      </c>
      <c r="F345" s="7">
        <v>46170.676249999997</v>
      </c>
    </row>
    <row r="346" spans="1:6" ht="15.75" customHeight="1" x14ac:dyDescent="0.25">
      <c r="A346" s="6" t="s">
        <v>84</v>
      </c>
      <c r="B346" s="6" t="s">
        <v>71</v>
      </c>
      <c r="C346" s="6" t="s">
        <v>363</v>
      </c>
      <c r="D346" s="6" t="s">
        <v>85</v>
      </c>
      <c r="F346" s="7">
        <v>46170.676249999997</v>
      </c>
    </row>
    <row r="347" spans="1:6" ht="15.75" customHeight="1" x14ac:dyDescent="0.25">
      <c r="A347" s="6" t="s">
        <v>84</v>
      </c>
      <c r="B347" s="6" t="s">
        <v>71</v>
      </c>
      <c r="C347" s="6" t="s">
        <v>363</v>
      </c>
      <c r="D347" s="6" t="s">
        <v>85</v>
      </c>
      <c r="F347" s="7">
        <v>46170.676249999997</v>
      </c>
    </row>
    <row r="348" spans="1:6" ht="15.75" customHeight="1" x14ac:dyDescent="0.25">
      <c r="A348" s="6" t="s">
        <v>84</v>
      </c>
      <c r="B348" s="6" t="s">
        <v>71</v>
      </c>
      <c r="C348" s="6" t="s">
        <v>363</v>
      </c>
      <c r="D348" s="6" t="s">
        <v>85</v>
      </c>
      <c r="F348" s="7">
        <v>46170.676342592589</v>
      </c>
    </row>
    <row r="349" spans="1:6" ht="15.75" customHeight="1" x14ac:dyDescent="0.25">
      <c r="A349" s="6" t="s">
        <v>84</v>
      </c>
      <c r="B349" s="6" t="s">
        <v>71</v>
      </c>
      <c r="C349" s="6" t="s">
        <v>363</v>
      </c>
      <c r="D349" s="6" t="s">
        <v>85</v>
      </c>
      <c r="F349" s="7">
        <v>46170.676342592589</v>
      </c>
    </row>
    <row r="350" spans="1:6" ht="15.75" customHeight="1" x14ac:dyDescent="0.25">
      <c r="A350" s="6" t="s">
        <v>84</v>
      </c>
      <c r="B350" s="6" t="s">
        <v>71</v>
      </c>
      <c r="C350" s="6" t="s">
        <v>363</v>
      </c>
      <c r="D350" s="6" t="s">
        <v>85</v>
      </c>
      <c r="F350" s="7">
        <v>46170.676342592589</v>
      </c>
    </row>
    <row r="351" spans="1:6" ht="15.75" customHeight="1" x14ac:dyDescent="0.25">
      <c r="A351" s="6" t="s">
        <v>84</v>
      </c>
      <c r="B351" s="6" t="s">
        <v>71</v>
      </c>
      <c r="C351" s="6" t="s">
        <v>363</v>
      </c>
      <c r="D351" s="6" t="s">
        <v>85</v>
      </c>
      <c r="F351" s="7">
        <v>46170.676342592589</v>
      </c>
    </row>
    <row r="352" spans="1:6" ht="15.75" customHeight="1" x14ac:dyDescent="0.25">
      <c r="A352" s="6" t="s">
        <v>84</v>
      </c>
      <c r="B352" s="6" t="s">
        <v>71</v>
      </c>
      <c r="C352" s="6" t="s">
        <v>363</v>
      </c>
      <c r="D352" s="6" t="s">
        <v>85</v>
      </c>
      <c r="F352" s="7">
        <v>46170.676342592589</v>
      </c>
    </row>
    <row r="353" spans="1:6" ht="15.75" customHeight="1" x14ac:dyDescent="0.25">
      <c r="A353" s="6" t="s">
        <v>84</v>
      </c>
      <c r="B353" s="6" t="s">
        <v>71</v>
      </c>
      <c r="C353" s="6" t="s">
        <v>363</v>
      </c>
      <c r="D353" s="6" t="s">
        <v>85</v>
      </c>
      <c r="F353" s="7">
        <v>46170.676342592589</v>
      </c>
    </row>
    <row r="354" spans="1:6" ht="15.75" customHeight="1" x14ac:dyDescent="0.25">
      <c r="A354" s="6" t="s">
        <v>84</v>
      </c>
      <c r="B354" s="6" t="s">
        <v>71</v>
      </c>
      <c r="C354" s="6" t="s">
        <v>363</v>
      </c>
      <c r="D354" s="6" t="s">
        <v>85</v>
      </c>
      <c r="F354" s="7">
        <v>46170.676666666666</v>
      </c>
    </row>
    <row r="355" spans="1:6" ht="15.75" customHeight="1" x14ac:dyDescent="0.25">
      <c r="A355" s="6" t="s">
        <v>84</v>
      </c>
      <c r="B355" s="6" t="s">
        <v>71</v>
      </c>
      <c r="C355" s="6" t="s">
        <v>363</v>
      </c>
      <c r="D355" s="6" t="s">
        <v>85</v>
      </c>
      <c r="F355" s="7">
        <v>46170.681539351855</v>
      </c>
    </row>
    <row r="356" spans="1:6" ht="15.75" customHeight="1" x14ac:dyDescent="0.25">
      <c r="A356" s="6" t="s">
        <v>84</v>
      </c>
      <c r="B356" s="6" t="s">
        <v>71</v>
      </c>
      <c r="C356" s="6" t="s">
        <v>363</v>
      </c>
      <c r="D356" s="6" t="s">
        <v>85</v>
      </c>
      <c r="F356" s="7">
        <v>46170.681539351855</v>
      </c>
    </row>
    <row r="357" spans="1:6" ht="15.75" customHeight="1" x14ac:dyDescent="0.25">
      <c r="A357" s="6" t="s">
        <v>84</v>
      </c>
      <c r="B357" s="6" t="s">
        <v>71</v>
      </c>
      <c r="C357" s="6" t="s">
        <v>363</v>
      </c>
      <c r="D357" s="6" t="s">
        <v>85</v>
      </c>
      <c r="F357" s="7">
        <v>46170.681539351855</v>
      </c>
    </row>
    <row r="358" spans="1:6" ht="15.75" customHeight="1" x14ac:dyDescent="0.25">
      <c r="A358" s="6" t="s">
        <v>84</v>
      </c>
      <c r="B358" s="6" t="s">
        <v>71</v>
      </c>
      <c r="C358" s="6" t="s">
        <v>363</v>
      </c>
      <c r="D358" s="6" t="s">
        <v>85</v>
      </c>
      <c r="F358" s="7">
        <v>46170.681539351855</v>
      </c>
    </row>
    <row r="359" spans="1:6" ht="15.75" customHeight="1" x14ac:dyDescent="0.25">
      <c r="A359" s="6" t="s">
        <v>84</v>
      </c>
      <c r="B359" s="6" t="s">
        <v>71</v>
      </c>
      <c r="C359" s="6" t="s">
        <v>363</v>
      </c>
      <c r="D359" s="6" t="s">
        <v>85</v>
      </c>
      <c r="F359" s="7">
        <v>46170.681539351855</v>
      </c>
    </row>
    <row r="360" spans="1:6" ht="15.75" customHeight="1" x14ac:dyDescent="0.25">
      <c r="A360" s="6" t="s">
        <v>84</v>
      </c>
      <c r="B360" s="6" t="s">
        <v>71</v>
      </c>
      <c r="C360" s="6" t="s">
        <v>363</v>
      </c>
      <c r="D360" s="6" t="s">
        <v>85</v>
      </c>
      <c r="F360" s="7">
        <v>46170.681585648148</v>
      </c>
    </row>
    <row r="361" spans="1:6" ht="15.75" customHeight="1" x14ac:dyDescent="0.25">
      <c r="A361" s="6" t="s">
        <v>84</v>
      </c>
      <c r="B361" s="6" t="s">
        <v>71</v>
      </c>
      <c r="C361" s="6" t="s">
        <v>363</v>
      </c>
      <c r="D361" s="6" t="s">
        <v>85</v>
      </c>
      <c r="F361" s="7">
        <v>46170.681620370371</v>
      </c>
    </row>
    <row r="362" spans="1:6" ht="15.75" customHeight="1" x14ac:dyDescent="0.25">
      <c r="A362" s="6" t="s">
        <v>84</v>
      </c>
      <c r="B362" s="6" t="s">
        <v>71</v>
      </c>
      <c r="C362" s="6" t="s">
        <v>363</v>
      </c>
      <c r="D362" s="6" t="s">
        <v>85</v>
      </c>
      <c r="F362" s="7">
        <v>46170.681655092594</v>
      </c>
    </row>
    <row r="363" spans="1:6" ht="15.75" customHeight="1" x14ac:dyDescent="0.25">
      <c r="A363" s="6" t="s">
        <v>84</v>
      </c>
      <c r="B363" s="6" t="s">
        <v>71</v>
      </c>
      <c r="C363" s="6" t="s">
        <v>363</v>
      </c>
      <c r="D363" s="6" t="s">
        <v>85</v>
      </c>
      <c r="F363" s="7">
        <v>46170.681655092594</v>
      </c>
    </row>
    <row r="364" spans="1:6" ht="15.75" customHeight="1" x14ac:dyDescent="0.25">
      <c r="A364" s="6" t="s">
        <v>84</v>
      </c>
      <c r="B364" s="6" t="s">
        <v>71</v>
      </c>
      <c r="C364" s="6" t="s">
        <v>363</v>
      </c>
      <c r="D364" s="6" t="s">
        <v>85</v>
      </c>
      <c r="F364" s="7">
        <v>46170.681655092594</v>
      </c>
    </row>
    <row r="365" spans="1:6" ht="15.75" customHeight="1" x14ac:dyDescent="0.25">
      <c r="A365" s="6" t="s">
        <v>84</v>
      </c>
      <c r="B365" s="6" t="s">
        <v>71</v>
      </c>
      <c r="C365" s="6" t="s">
        <v>363</v>
      </c>
      <c r="D365" s="6" t="s">
        <v>85</v>
      </c>
      <c r="F365" s="7">
        <v>46170.681655092594</v>
      </c>
    </row>
    <row r="366" spans="1:6" ht="15.75" customHeight="1" x14ac:dyDescent="0.25">
      <c r="A366" s="6" t="s">
        <v>84</v>
      </c>
      <c r="B366" s="6" t="s">
        <v>71</v>
      </c>
      <c r="C366" s="6" t="s">
        <v>363</v>
      </c>
      <c r="D366" s="6" t="s">
        <v>85</v>
      </c>
      <c r="F366" s="7">
        <v>46170.681655092594</v>
      </c>
    </row>
    <row r="367" spans="1:6" ht="15.75" customHeight="1" x14ac:dyDescent="0.25">
      <c r="A367" s="6" t="s">
        <v>84</v>
      </c>
      <c r="B367" s="6" t="s">
        <v>71</v>
      </c>
      <c r="C367" s="6" t="s">
        <v>363</v>
      </c>
      <c r="D367" s="6" t="s">
        <v>85</v>
      </c>
      <c r="F367" s="7">
        <v>46170.683738425927</v>
      </c>
    </row>
    <row r="368" spans="1:6" ht="15.75" customHeight="1" x14ac:dyDescent="0.25">
      <c r="A368" s="6" t="s">
        <v>84</v>
      </c>
      <c r="B368" s="6" t="s">
        <v>71</v>
      </c>
      <c r="C368" s="6" t="s">
        <v>363</v>
      </c>
      <c r="D368" s="6" t="s">
        <v>85</v>
      </c>
      <c r="F368" s="7">
        <v>46170.683796296296</v>
      </c>
    </row>
    <row r="369" spans="1:6" ht="15.75" customHeight="1" x14ac:dyDescent="0.25">
      <c r="A369" s="6" t="s">
        <v>84</v>
      </c>
      <c r="B369" s="6" t="s">
        <v>71</v>
      </c>
      <c r="C369" s="6" t="s">
        <v>363</v>
      </c>
      <c r="D369" s="6" t="s">
        <v>85</v>
      </c>
      <c r="F369" s="7">
        <v>46170.683854166666</v>
      </c>
    </row>
    <row r="370" spans="1:6" ht="15.75" customHeight="1" x14ac:dyDescent="0.25">
      <c r="A370" s="6" t="s">
        <v>84</v>
      </c>
      <c r="B370" s="6" t="s">
        <v>71</v>
      </c>
      <c r="C370" s="6" t="s">
        <v>363</v>
      </c>
      <c r="D370" s="6" t="s">
        <v>85</v>
      </c>
      <c r="F370" s="7">
        <v>46170.683888888889</v>
      </c>
    </row>
    <row r="371" spans="1:6" ht="15.75" customHeight="1" x14ac:dyDescent="0.25">
      <c r="A371" s="6" t="s">
        <v>84</v>
      </c>
      <c r="B371" s="6" t="s">
        <v>71</v>
      </c>
      <c r="C371" s="6" t="s">
        <v>363</v>
      </c>
      <c r="D371" s="6" t="s">
        <v>85</v>
      </c>
      <c r="F371" s="7">
        <v>46170.683935185189</v>
      </c>
    </row>
    <row r="372" spans="1:6" ht="15.75" customHeight="1" x14ac:dyDescent="0.25">
      <c r="A372" s="6" t="s">
        <v>84</v>
      </c>
      <c r="B372" s="6" t="s">
        <v>71</v>
      </c>
      <c r="C372" s="6" t="s">
        <v>363</v>
      </c>
      <c r="D372" s="6" t="s">
        <v>85</v>
      </c>
      <c r="F372" s="7">
        <v>46170.684004629627</v>
      </c>
    </row>
    <row r="373" spans="1:6" ht="15.75" customHeight="1" x14ac:dyDescent="0.25">
      <c r="A373" s="6" t="s">
        <v>84</v>
      </c>
      <c r="B373" s="6" t="s">
        <v>71</v>
      </c>
      <c r="C373" s="6" t="s">
        <v>363</v>
      </c>
      <c r="D373" s="6" t="s">
        <v>85</v>
      </c>
      <c r="F373" s="7">
        <v>46170.684131944443</v>
      </c>
    </row>
    <row r="374" spans="1:6" ht="15.75" customHeight="1" x14ac:dyDescent="0.25">
      <c r="A374" s="6" t="s">
        <v>84</v>
      </c>
      <c r="B374" s="6" t="s">
        <v>71</v>
      </c>
      <c r="C374" s="6" t="s">
        <v>363</v>
      </c>
      <c r="D374" s="6" t="s">
        <v>85</v>
      </c>
      <c r="F374" s="7">
        <v>46170.684224537035</v>
      </c>
    </row>
    <row r="375" spans="1:6" ht="15.75" customHeight="1" x14ac:dyDescent="0.25">
      <c r="A375" s="6" t="s">
        <v>84</v>
      </c>
      <c r="B375" s="6" t="s">
        <v>71</v>
      </c>
      <c r="C375" s="6" t="s">
        <v>363</v>
      </c>
      <c r="D375" s="6" t="s">
        <v>85</v>
      </c>
      <c r="F375" s="7">
        <v>46170.684247685182</v>
      </c>
    </row>
    <row r="376" spans="1:6" ht="15.75" customHeight="1" x14ac:dyDescent="0.25">
      <c r="A376" s="6" t="s">
        <v>84</v>
      </c>
      <c r="B376" s="6" t="s">
        <v>71</v>
      </c>
      <c r="C376" s="6" t="s">
        <v>363</v>
      </c>
      <c r="D376" s="6" t="s">
        <v>85</v>
      </c>
      <c r="F376" s="7">
        <v>46170.684305555558</v>
      </c>
    </row>
    <row r="377" spans="1:6" ht="15.75" customHeight="1" x14ac:dyDescent="0.25">
      <c r="A377" s="6" t="s">
        <v>84</v>
      </c>
      <c r="B377" s="6" t="s">
        <v>71</v>
      </c>
      <c r="C377" s="6" t="s">
        <v>363</v>
      </c>
      <c r="D377" s="6" t="s">
        <v>85</v>
      </c>
      <c r="F377" s="7">
        <v>46170.684305555558</v>
      </c>
    </row>
    <row r="378" spans="1:6" ht="15.75" customHeight="1" x14ac:dyDescent="0.25">
      <c r="A378" s="6" t="s">
        <v>84</v>
      </c>
      <c r="B378" s="6" t="s">
        <v>71</v>
      </c>
      <c r="C378" s="6" t="s">
        <v>363</v>
      </c>
      <c r="D378" s="6" t="s">
        <v>85</v>
      </c>
      <c r="F378" s="7">
        <v>46170.684328703705</v>
      </c>
    </row>
    <row r="379" spans="1:6" ht="15.75" customHeight="1" x14ac:dyDescent="0.25">
      <c r="A379" s="6" t="s">
        <v>84</v>
      </c>
      <c r="B379" s="6" t="s">
        <v>71</v>
      </c>
      <c r="C379" s="6" t="s">
        <v>363</v>
      </c>
      <c r="D379" s="6" t="s">
        <v>85</v>
      </c>
      <c r="F379" s="7">
        <v>46170.684340277781</v>
      </c>
    </row>
    <row r="380" spans="1:6" ht="15.75" customHeight="1" x14ac:dyDescent="0.25">
      <c r="A380" s="6" t="s">
        <v>84</v>
      </c>
      <c r="B380" s="6" t="s">
        <v>71</v>
      </c>
      <c r="C380" s="6" t="s">
        <v>363</v>
      </c>
      <c r="D380" s="6" t="s">
        <v>85</v>
      </c>
      <c r="F380" s="7">
        <v>46170.684398148151</v>
      </c>
    </row>
    <row r="381" spans="1:6" ht="15.75" customHeight="1" x14ac:dyDescent="0.25">
      <c r="A381" s="6" t="s">
        <v>84</v>
      </c>
      <c r="B381" s="6" t="s">
        <v>71</v>
      </c>
      <c r="C381" s="6" t="s">
        <v>363</v>
      </c>
      <c r="D381" s="6" t="s">
        <v>85</v>
      </c>
      <c r="F381" s="7">
        <v>46170.684398148151</v>
      </c>
    </row>
    <row r="382" spans="1:6" ht="15.75" customHeight="1" x14ac:dyDescent="0.25">
      <c r="A382" s="6" t="s">
        <v>84</v>
      </c>
      <c r="B382" s="6" t="s">
        <v>71</v>
      </c>
      <c r="C382" s="6" t="s">
        <v>363</v>
      </c>
      <c r="D382" s="6" t="s">
        <v>85</v>
      </c>
      <c r="F382" s="7">
        <v>46170.684398148151</v>
      </c>
    </row>
    <row r="383" spans="1:6" ht="15.75" customHeight="1" x14ac:dyDescent="0.25">
      <c r="A383" s="6" t="s">
        <v>84</v>
      </c>
      <c r="B383" s="6" t="s">
        <v>71</v>
      </c>
      <c r="C383" s="6" t="s">
        <v>363</v>
      </c>
      <c r="D383" s="6" t="s">
        <v>85</v>
      </c>
      <c r="F383" s="7">
        <v>46170.684398148151</v>
      </c>
    </row>
    <row r="384" spans="1:6" ht="15.75" customHeight="1" x14ac:dyDescent="0.25">
      <c r="A384" s="6" t="s">
        <v>84</v>
      </c>
      <c r="B384" s="6" t="s">
        <v>71</v>
      </c>
      <c r="C384" s="6" t="s">
        <v>363</v>
      </c>
      <c r="D384" s="6" t="s">
        <v>85</v>
      </c>
      <c r="F384" s="7">
        <v>46170.684398148151</v>
      </c>
    </row>
    <row r="385" spans="1:6" ht="15.75" customHeight="1" x14ac:dyDescent="0.25">
      <c r="A385" s="6" t="s">
        <v>84</v>
      </c>
      <c r="B385" s="6" t="s">
        <v>71</v>
      </c>
      <c r="C385" s="6" t="s">
        <v>363</v>
      </c>
      <c r="D385" s="6" t="s">
        <v>85</v>
      </c>
      <c r="F385" s="7">
        <v>46170.684398148151</v>
      </c>
    </row>
    <row r="386" spans="1:6" ht="15.75" customHeight="1" x14ac:dyDescent="0.25">
      <c r="A386" s="6" t="s">
        <v>84</v>
      </c>
      <c r="B386" s="6" t="s">
        <v>71</v>
      </c>
      <c r="C386" s="6" t="s">
        <v>363</v>
      </c>
      <c r="D386" s="6" t="s">
        <v>85</v>
      </c>
      <c r="F386" s="7">
        <v>46170.684594907405</v>
      </c>
    </row>
    <row r="387" spans="1:6" ht="15.75" customHeight="1" x14ac:dyDescent="0.25">
      <c r="A387" s="6" t="s">
        <v>84</v>
      </c>
      <c r="B387" s="6" t="s">
        <v>71</v>
      </c>
      <c r="C387" s="6" t="s">
        <v>363</v>
      </c>
      <c r="D387" s="6" t="s">
        <v>85</v>
      </c>
      <c r="F387" s="7">
        <v>46170.684594907405</v>
      </c>
    </row>
    <row r="388" spans="1:6" ht="15.75" customHeight="1" x14ac:dyDescent="0.25">
      <c r="A388" s="6" t="s">
        <v>84</v>
      </c>
      <c r="B388" s="6" t="s">
        <v>71</v>
      </c>
      <c r="C388" s="6" t="s">
        <v>363</v>
      </c>
      <c r="D388" s="6" t="s">
        <v>85</v>
      </c>
      <c r="F388" s="7">
        <v>46170.684594907405</v>
      </c>
    </row>
    <row r="389" spans="1:6" ht="15.75" customHeight="1" x14ac:dyDescent="0.25">
      <c r="A389" s="6" t="s">
        <v>84</v>
      </c>
      <c r="B389" s="6" t="s">
        <v>71</v>
      </c>
      <c r="C389" s="6" t="s">
        <v>363</v>
      </c>
      <c r="D389" s="6" t="s">
        <v>85</v>
      </c>
      <c r="F389" s="7">
        <v>46170.684594907405</v>
      </c>
    </row>
    <row r="390" spans="1:6" ht="15.75" customHeight="1" x14ac:dyDescent="0.25">
      <c r="A390" s="6" t="s">
        <v>84</v>
      </c>
      <c r="B390" s="6" t="s">
        <v>71</v>
      </c>
      <c r="C390" s="6" t="s">
        <v>363</v>
      </c>
      <c r="D390" s="6" t="s">
        <v>85</v>
      </c>
      <c r="F390" s="7">
        <v>46170.684594907405</v>
      </c>
    </row>
    <row r="391" spans="1:6" ht="15.75" customHeight="1" x14ac:dyDescent="0.25">
      <c r="A391" s="6" t="s">
        <v>84</v>
      </c>
      <c r="B391" s="6" t="s">
        <v>71</v>
      </c>
      <c r="C391" s="6" t="s">
        <v>363</v>
      </c>
      <c r="D391" s="6" t="s">
        <v>85</v>
      </c>
      <c r="F391" s="7">
        <v>46170.68472222222</v>
      </c>
    </row>
    <row r="392" spans="1:6" ht="15.75" customHeight="1" x14ac:dyDescent="0.25">
      <c r="A392" s="6" t="s">
        <v>84</v>
      </c>
      <c r="B392" s="6" t="s">
        <v>371</v>
      </c>
      <c r="C392" s="6" t="s">
        <v>323</v>
      </c>
      <c r="D392" s="6" t="s">
        <v>85</v>
      </c>
      <c r="F392" s="7">
        <v>46174.555069444446</v>
      </c>
    </row>
    <row r="393" spans="1:6" ht="15.75" customHeight="1" x14ac:dyDescent="0.25">
      <c r="A393" s="6" t="s">
        <v>84</v>
      </c>
      <c r="B393" s="6" t="s">
        <v>371</v>
      </c>
      <c r="C393" s="6" t="s">
        <v>323</v>
      </c>
      <c r="D393" s="6" t="s">
        <v>85</v>
      </c>
      <c r="F393" s="7">
        <v>46174.555150462962</v>
      </c>
    </row>
    <row r="394" spans="1:6" ht="15.75" customHeight="1" x14ac:dyDescent="0.25">
      <c r="A394" s="6" t="s">
        <v>136</v>
      </c>
      <c r="B394" s="6" t="s">
        <v>371</v>
      </c>
      <c r="C394" s="6" t="s">
        <v>316</v>
      </c>
      <c r="D394" s="6" t="s">
        <v>85</v>
      </c>
      <c r="E394" s="6" t="s">
        <v>52</v>
      </c>
      <c r="F394" s="7">
        <v>46174.55537037037</v>
      </c>
    </row>
    <row r="395" spans="1:6" ht="15.75" customHeight="1" x14ac:dyDescent="0.25">
      <c r="A395" s="6" t="s">
        <v>84</v>
      </c>
      <c r="B395" s="6" t="s">
        <v>371</v>
      </c>
      <c r="C395" s="6" t="s">
        <v>376</v>
      </c>
      <c r="D395" s="6" t="s">
        <v>85</v>
      </c>
      <c r="F395" s="7">
        <v>46174.555844907409</v>
      </c>
    </row>
    <row r="396" spans="1:6" ht="15.75" customHeight="1" x14ac:dyDescent="0.25">
      <c r="A396" s="6" t="s">
        <v>84</v>
      </c>
      <c r="B396" s="6" t="s">
        <v>371</v>
      </c>
      <c r="C396" s="6" t="s">
        <v>376</v>
      </c>
      <c r="D396" s="6" t="s">
        <v>85</v>
      </c>
      <c r="F396" s="7">
        <v>46174.555983796294</v>
      </c>
    </row>
    <row r="397" spans="1:6" ht="15.75" customHeight="1" x14ac:dyDescent="0.25">
      <c r="A397" s="6" t="s">
        <v>84</v>
      </c>
      <c r="B397" s="6" t="s">
        <v>371</v>
      </c>
      <c r="C397" s="6" t="s">
        <v>376</v>
      </c>
      <c r="D397" s="6" t="s">
        <v>85</v>
      </c>
      <c r="F397" s="7">
        <v>46174.55605324074</v>
      </c>
    </row>
    <row r="398" spans="1:6" ht="15.75" customHeight="1" x14ac:dyDescent="0.25">
      <c r="A398" s="6" t="s">
        <v>84</v>
      </c>
      <c r="B398" s="6" t="s">
        <v>371</v>
      </c>
      <c r="C398" s="6" t="s">
        <v>376</v>
      </c>
      <c r="D398" s="6" t="s">
        <v>85</v>
      </c>
      <c r="F398" s="7">
        <v>46174.556145833332</v>
      </c>
    </row>
    <row r="399" spans="1:6" ht="15.75" customHeight="1" x14ac:dyDescent="0.25">
      <c r="A399" s="6" t="s">
        <v>84</v>
      </c>
      <c r="B399" s="6" t="s">
        <v>371</v>
      </c>
      <c r="C399" s="6" t="s">
        <v>376</v>
      </c>
      <c r="D399" s="6" t="s">
        <v>85</v>
      </c>
      <c r="F399" s="7">
        <v>46174.556180555555</v>
      </c>
    </row>
    <row r="400" spans="1:6" ht="15.75" customHeight="1" x14ac:dyDescent="0.25">
      <c r="A400" s="6" t="s">
        <v>84</v>
      </c>
      <c r="B400" s="6" t="s">
        <v>371</v>
      </c>
      <c r="C400" s="6" t="s">
        <v>376</v>
      </c>
      <c r="D400" s="6" t="s">
        <v>85</v>
      </c>
      <c r="F400" s="7">
        <v>46174.556296296294</v>
      </c>
    </row>
    <row r="401" spans="1:6" ht="15.75" customHeight="1" x14ac:dyDescent="0.25">
      <c r="A401" s="6" t="s">
        <v>84</v>
      </c>
      <c r="B401" s="6" t="s">
        <v>371</v>
      </c>
      <c r="C401" s="6" t="s">
        <v>376</v>
      </c>
      <c r="D401" s="6" t="s">
        <v>85</v>
      </c>
      <c r="F401" s="7">
        <v>46174.556435185186</v>
      </c>
    </row>
    <row r="402" spans="1:6" ht="15.75" customHeight="1" x14ac:dyDescent="0.25">
      <c r="A402" s="6" t="s">
        <v>84</v>
      </c>
      <c r="B402" s="6" t="s">
        <v>371</v>
      </c>
      <c r="C402" s="6" t="s">
        <v>376</v>
      </c>
      <c r="D402" s="6" t="s">
        <v>85</v>
      </c>
      <c r="F402" s="7">
        <v>46174.556550925925</v>
      </c>
    </row>
    <row r="403" spans="1:6" ht="15.75" customHeight="1" x14ac:dyDescent="0.25">
      <c r="A403" s="6" t="s">
        <v>84</v>
      </c>
      <c r="B403" s="6" t="s">
        <v>371</v>
      </c>
      <c r="C403" s="6" t="s">
        <v>376</v>
      </c>
      <c r="D403" s="6" t="s">
        <v>85</v>
      </c>
      <c r="F403" s="7">
        <v>46174.557013888887</v>
      </c>
    </row>
    <row r="404" spans="1:6" ht="15.75" customHeight="1" x14ac:dyDescent="0.25">
      <c r="A404" s="6" t="s">
        <v>84</v>
      </c>
      <c r="B404" s="6" t="s">
        <v>371</v>
      </c>
      <c r="C404" s="6" t="s">
        <v>376</v>
      </c>
      <c r="D404" s="6" t="s">
        <v>85</v>
      </c>
      <c r="F404" s="7">
        <v>46174.557025462964</v>
      </c>
    </row>
    <row r="405" spans="1:6" ht="15.75" customHeight="1" x14ac:dyDescent="0.25">
      <c r="A405" s="6" t="s">
        <v>84</v>
      </c>
      <c r="B405" s="6" t="s">
        <v>371</v>
      </c>
      <c r="C405" s="6" t="s">
        <v>376</v>
      </c>
      <c r="D405" s="6" t="s">
        <v>85</v>
      </c>
      <c r="F405" s="7">
        <v>46174.557037037041</v>
      </c>
    </row>
    <row r="406" spans="1:6" ht="15.75" customHeight="1" x14ac:dyDescent="0.25">
      <c r="A406" s="6" t="s">
        <v>84</v>
      </c>
      <c r="B406" s="6" t="s">
        <v>371</v>
      </c>
      <c r="C406" s="6" t="s">
        <v>376</v>
      </c>
      <c r="D406" s="6" t="s">
        <v>85</v>
      </c>
      <c r="F406" s="7">
        <v>46174.55704861111</v>
      </c>
    </row>
    <row r="407" spans="1:6" ht="15.75" customHeight="1" x14ac:dyDescent="0.25">
      <c r="A407" s="6" t="s">
        <v>84</v>
      </c>
      <c r="B407" s="6" t="s">
        <v>371</v>
      </c>
      <c r="C407" s="6" t="s">
        <v>376</v>
      </c>
      <c r="D407" s="6" t="s">
        <v>85</v>
      </c>
      <c r="F407" s="7">
        <v>46174.55704861111</v>
      </c>
    </row>
    <row r="408" spans="1:6" ht="15.75" customHeight="1" x14ac:dyDescent="0.25">
      <c r="A408" s="6" t="s">
        <v>84</v>
      </c>
      <c r="B408" s="6" t="s">
        <v>371</v>
      </c>
      <c r="C408" s="6" t="s">
        <v>376</v>
      </c>
      <c r="D408" s="6" t="s">
        <v>85</v>
      </c>
      <c r="F408" s="7">
        <v>46174.557060185187</v>
      </c>
    </row>
    <row r="409" spans="1:6" ht="15.75" customHeight="1" x14ac:dyDescent="0.25">
      <c r="A409" s="6" t="s">
        <v>84</v>
      </c>
      <c r="B409" s="6" t="s">
        <v>371</v>
      </c>
      <c r="C409" s="6" t="s">
        <v>376</v>
      </c>
      <c r="D409" s="6" t="s">
        <v>85</v>
      </c>
      <c r="F409" s="7">
        <v>46174.557118055556</v>
      </c>
    </row>
    <row r="410" spans="1:6" ht="15.75" customHeight="1" x14ac:dyDescent="0.25">
      <c r="A410" s="6" t="s">
        <v>84</v>
      </c>
      <c r="B410" s="6" t="s">
        <v>371</v>
      </c>
      <c r="C410" s="6" t="s">
        <v>376</v>
      </c>
      <c r="D410" s="6" t="s">
        <v>85</v>
      </c>
      <c r="F410" s="7">
        <v>46174.557129629633</v>
      </c>
    </row>
    <row r="411" spans="1:6" ht="15.75" customHeight="1" x14ac:dyDescent="0.25">
      <c r="A411" s="6" t="s">
        <v>84</v>
      </c>
      <c r="B411" s="6" t="s">
        <v>385</v>
      </c>
      <c r="C411" s="6" t="s">
        <v>392</v>
      </c>
      <c r="D411" s="6" t="s">
        <v>85</v>
      </c>
      <c r="F411" s="7">
        <v>46174.55909722222</v>
      </c>
    </row>
    <row r="412" spans="1:6" ht="15.75" customHeight="1" x14ac:dyDescent="0.25">
      <c r="A412" s="6" t="s">
        <v>84</v>
      </c>
      <c r="B412" s="6" t="s">
        <v>385</v>
      </c>
      <c r="C412" s="6" t="s">
        <v>392</v>
      </c>
      <c r="D412" s="6" t="s">
        <v>85</v>
      </c>
      <c r="F412" s="7">
        <v>46174.559166666666</v>
      </c>
    </row>
    <row r="413" spans="1:6" ht="15.75" customHeight="1" x14ac:dyDescent="0.25">
      <c r="A413" s="6" t="s">
        <v>136</v>
      </c>
      <c r="B413" s="6" t="s">
        <v>385</v>
      </c>
      <c r="C413" s="6" t="s">
        <v>325</v>
      </c>
      <c r="D413" s="6" t="s">
        <v>85</v>
      </c>
      <c r="E413" s="6" t="s">
        <v>52</v>
      </c>
      <c r="F413" s="7">
        <v>46174.55945601852</v>
      </c>
    </row>
    <row r="414" spans="1:6" ht="15.75" customHeight="1" x14ac:dyDescent="0.25">
      <c r="A414" s="6" t="s">
        <v>84</v>
      </c>
      <c r="B414" s="6" t="s">
        <v>399</v>
      </c>
      <c r="C414" s="6" t="s">
        <v>406</v>
      </c>
      <c r="D414" s="6" t="s">
        <v>85</v>
      </c>
      <c r="F414" s="7">
        <v>46174.560277777775</v>
      </c>
    </row>
    <row r="415" spans="1:6" ht="15.75" customHeight="1" x14ac:dyDescent="0.25">
      <c r="A415" s="6" t="s">
        <v>84</v>
      </c>
      <c r="B415" s="6" t="s">
        <v>399</v>
      </c>
      <c r="C415" s="6" t="s">
        <v>406</v>
      </c>
      <c r="D415" s="6" t="s">
        <v>85</v>
      </c>
      <c r="F415" s="7">
        <v>46174.560416666667</v>
      </c>
    </row>
    <row r="416" spans="1:6" ht="15.75" customHeight="1" x14ac:dyDescent="0.25">
      <c r="A416" s="6" t="s">
        <v>138</v>
      </c>
      <c r="B416" s="6" t="s">
        <v>399</v>
      </c>
      <c r="C416" s="6" t="s">
        <v>327</v>
      </c>
      <c r="D416" s="6" t="s">
        <v>85</v>
      </c>
      <c r="E416" s="6" t="s">
        <v>55</v>
      </c>
      <c r="F416" s="7">
        <v>46174.560578703706</v>
      </c>
    </row>
    <row r="417" spans="1:6" ht="15.75" customHeight="1" x14ac:dyDescent="0.25">
      <c r="A417" s="6" t="s">
        <v>84</v>
      </c>
      <c r="B417" s="6" t="s">
        <v>413</v>
      </c>
      <c r="C417" s="6" t="s">
        <v>421</v>
      </c>
      <c r="D417" s="6" t="s">
        <v>85</v>
      </c>
      <c r="F417" s="7">
        <v>46174.561423611114</v>
      </c>
    </row>
    <row r="418" spans="1:6" ht="15.75" customHeight="1" x14ac:dyDescent="0.25">
      <c r="A418" s="6" t="s">
        <v>84</v>
      </c>
      <c r="B418" s="6" t="s">
        <v>413</v>
      </c>
      <c r="C418" s="6" t="s">
        <v>421</v>
      </c>
      <c r="D418" s="6" t="s">
        <v>85</v>
      </c>
      <c r="F418" s="7">
        <v>46174.561481481483</v>
      </c>
    </row>
    <row r="419" spans="1:6" ht="15.75" customHeight="1" x14ac:dyDescent="0.25">
      <c r="A419" s="6" t="s">
        <v>136</v>
      </c>
      <c r="B419" s="6" t="s">
        <v>435</v>
      </c>
      <c r="C419" s="6" t="s">
        <v>437</v>
      </c>
      <c r="D419" s="6" t="s">
        <v>85</v>
      </c>
      <c r="E419" s="6" t="s">
        <v>52</v>
      </c>
      <c r="F419" s="7">
        <v>46174.569062499999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ABCA-3CA0-4AD4-82E2-2A3D7847AC35}">
  <sheetPr codeName="Sheet10"/>
  <dimension ref="A1:E25"/>
  <sheetViews>
    <sheetView topLeftCell="A13" zoomScale="130" zoomScaleNormal="130" workbookViewId="0">
      <selection activeCell="D16" activeCellId="1" sqref="C16:C20 D16:D20"/>
    </sheetView>
  </sheetViews>
  <sheetFormatPr defaultColWidth="30.7109375" defaultRowHeight="24" customHeight="1" x14ac:dyDescent="0.25"/>
  <cols>
    <col min="1" max="1" width="21.140625" style="1" customWidth="1"/>
    <col min="2" max="16384" width="30.7109375" style="1"/>
  </cols>
  <sheetData>
    <row r="1" spans="1:5" ht="24" customHeight="1" x14ac:dyDescent="0.25">
      <c r="A1" s="15" t="s">
        <v>29</v>
      </c>
      <c r="B1" s="15" t="s">
        <v>94</v>
      </c>
      <c r="C1" s="15" t="s">
        <v>96</v>
      </c>
      <c r="D1" s="15" t="s">
        <v>97</v>
      </c>
      <c r="E1" s="15" t="s">
        <v>98</v>
      </c>
    </row>
    <row r="2" spans="1:5" ht="24" customHeight="1" x14ac:dyDescent="0.25">
      <c r="A2" s="10">
        <v>20260601131835</v>
      </c>
      <c r="B2" s="10" t="s">
        <v>87</v>
      </c>
      <c r="C2" s="10" t="s">
        <v>47</v>
      </c>
      <c r="D2" s="10">
        <v>222513.74100000001</v>
      </c>
      <c r="E2" s="16">
        <v>46174.55809027778</v>
      </c>
    </row>
    <row r="3" spans="1:5" ht="24" customHeight="1" x14ac:dyDescent="0.25">
      <c r="A3" s="10">
        <v>20260601131835</v>
      </c>
      <c r="B3" s="10" t="s">
        <v>87</v>
      </c>
      <c r="C3" s="10" t="s">
        <v>82</v>
      </c>
      <c r="D3" s="10">
        <v>355761.23</v>
      </c>
      <c r="E3" s="16">
        <v>46174.55809027778</v>
      </c>
    </row>
    <row r="4" spans="1:5" ht="24" customHeight="1" x14ac:dyDescent="0.25">
      <c r="A4" s="10">
        <v>20260601131835</v>
      </c>
      <c r="B4" s="10" t="s">
        <v>87</v>
      </c>
      <c r="C4" s="10" t="s">
        <v>48</v>
      </c>
      <c r="D4" s="10">
        <v>10000</v>
      </c>
      <c r="E4" s="16">
        <v>46174.55809027778</v>
      </c>
    </row>
    <row r="5" spans="1:5" ht="24" customHeight="1" x14ac:dyDescent="0.25">
      <c r="A5" s="10">
        <v>20260601132429</v>
      </c>
      <c r="B5" s="10" t="s">
        <v>88</v>
      </c>
      <c r="C5" s="10" t="s">
        <v>47</v>
      </c>
      <c r="D5" s="10">
        <v>72685.763499999986</v>
      </c>
      <c r="E5" s="16">
        <v>46174.559548611112</v>
      </c>
    </row>
    <row r="6" spans="1:5" ht="24" customHeight="1" x14ac:dyDescent="0.25">
      <c r="A6" s="10">
        <v>20260601132429</v>
      </c>
      <c r="B6" s="10" t="s">
        <v>88</v>
      </c>
      <c r="C6" s="10" t="s">
        <v>82</v>
      </c>
      <c r="D6" s="10">
        <v>314658</v>
      </c>
      <c r="E6" s="16">
        <v>46174.559548611112</v>
      </c>
    </row>
    <row r="7" spans="1:5" ht="24" customHeight="1" x14ac:dyDescent="0.25">
      <c r="A7" s="10">
        <v>20260601132429</v>
      </c>
      <c r="B7" s="10" t="s">
        <v>88</v>
      </c>
      <c r="C7" s="10" t="s">
        <v>48</v>
      </c>
      <c r="D7" s="10">
        <v>0</v>
      </c>
      <c r="E7" s="16">
        <v>46174.559548611112</v>
      </c>
    </row>
    <row r="8" spans="1:5" ht="24" customHeight="1" x14ac:dyDescent="0.25">
      <c r="A8" s="10">
        <v>20260601132613</v>
      </c>
      <c r="B8" s="10" t="s">
        <v>89</v>
      </c>
      <c r="C8" s="10" t="s">
        <v>47</v>
      </c>
      <c r="D8" s="10">
        <v>0</v>
      </c>
      <c r="E8" s="16">
        <v>46174.560624999998</v>
      </c>
    </row>
    <row r="9" spans="1:5" ht="24" customHeight="1" x14ac:dyDescent="0.25">
      <c r="A9" s="10">
        <v>20260601132613</v>
      </c>
      <c r="B9" s="10" t="s">
        <v>89</v>
      </c>
      <c r="C9" s="10" t="s">
        <v>82</v>
      </c>
      <c r="D9" s="10">
        <v>1200</v>
      </c>
      <c r="E9" s="16">
        <v>46174.560624999998</v>
      </c>
    </row>
    <row r="10" spans="1:5" ht="24" customHeight="1" x14ac:dyDescent="0.25">
      <c r="A10" s="10">
        <v>20260601132613</v>
      </c>
      <c r="B10" s="10" t="s">
        <v>89</v>
      </c>
      <c r="C10" s="10" t="s">
        <v>48</v>
      </c>
      <c r="D10" s="10">
        <v>0</v>
      </c>
      <c r="E10" s="16">
        <v>46174.560624999998</v>
      </c>
    </row>
    <row r="11" spans="1:5" ht="24" customHeight="1" x14ac:dyDescent="0.25">
      <c r="A11" s="10">
        <v>20260601132755</v>
      </c>
      <c r="B11" s="10" t="s">
        <v>83</v>
      </c>
      <c r="C11" s="10" t="s">
        <v>47</v>
      </c>
      <c r="D11" s="10">
        <v>24652.2</v>
      </c>
      <c r="E11" s="16">
        <v>46174.561527777776</v>
      </c>
    </row>
    <row r="12" spans="1:5" ht="24" customHeight="1" x14ac:dyDescent="0.25">
      <c r="A12" s="10">
        <v>20260601132755</v>
      </c>
      <c r="B12" s="10" t="s">
        <v>83</v>
      </c>
      <c r="C12" s="10" t="s">
        <v>82</v>
      </c>
      <c r="D12" s="10">
        <v>0</v>
      </c>
      <c r="E12" s="16">
        <v>46174.561527777776</v>
      </c>
    </row>
    <row r="13" spans="1:5" ht="24" customHeight="1" x14ac:dyDescent="0.25">
      <c r="A13" s="10">
        <v>20260601132755</v>
      </c>
      <c r="B13" s="10" t="s">
        <v>83</v>
      </c>
      <c r="C13" s="10" t="s">
        <v>48</v>
      </c>
      <c r="D13" s="10">
        <v>0</v>
      </c>
      <c r="E13" s="16">
        <v>46174.561527777776</v>
      </c>
    </row>
    <row r="14" spans="1:5" ht="24" customHeight="1" x14ac:dyDescent="0.25">
      <c r="A14" s="10">
        <v>20260601133837</v>
      </c>
      <c r="B14" s="10" t="s">
        <v>433</v>
      </c>
      <c r="C14" s="10" t="s">
        <v>47</v>
      </c>
      <c r="D14" s="10">
        <v>0</v>
      </c>
      <c r="E14" s="16">
        <v>46174.569224537037</v>
      </c>
    </row>
    <row r="15" spans="1:5" ht="24" customHeight="1" x14ac:dyDescent="0.25">
      <c r="A15" s="10">
        <v>20260601133837</v>
      </c>
      <c r="B15" s="10" t="s">
        <v>433</v>
      </c>
      <c r="C15" s="10" t="s">
        <v>82</v>
      </c>
      <c r="D15" s="10">
        <v>450000</v>
      </c>
      <c r="E15" s="16">
        <v>46174.569224537037</v>
      </c>
    </row>
    <row r="16" spans="1:5" ht="24" customHeight="1" x14ac:dyDescent="0.25">
      <c r="A16" s="10">
        <v>20260601133837</v>
      </c>
      <c r="B16" s="10" t="s">
        <v>433</v>
      </c>
      <c r="C16" s="10" t="s">
        <v>48</v>
      </c>
      <c r="D16" s="10">
        <v>0</v>
      </c>
      <c r="E16" s="16">
        <v>46174.569224537037</v>
      </c>
    </row>
    <row r="20" spans="1:5" ht="24" customHeight="1" x14ac:dyDescent="0.25">
      <c r="A20" s="262" t="s">
        <v>129</v>
      </c>
      <c r="B20" s="262"/>
      <c r="C20" s="32" t="s">
        <v>130</v>
      </c>
    </row>
    <row r="21" spans="1:5" ht="24" customHeight="1" x14ac:dyDescent="0.25">
      <c r="A21" s="28" t="s">
        <v>94</v>
      </c>
      <c r="B21" s="28" t="s">
        <v>128</v>
      </c>
      <c r="C21" s="28" t="s">
        <v>96</v>
      </c>
      <c r="D21" s="28" t="s">
        <v>97</v>
      </c>
      <c r="E21" s="29" t="s">
        <v>39</v>
      </c>
    </row>
    <row r="22" spans="1:5" ht="24" customHeight="1" x14ac:dyDescent="0.25">
      <c r="A22" s="297" t="s">
        <v>428</v>
      </c>
      <c r="B22" s="298" t="s">
        <v>429</v>
      </c>
      <c r="C22" s="297" t="s">
        <v>102</v>
      </c>
      <c r="D22" s="297">
        <v>100000</v>
      </c>
      <c r="E22" s="299">
        <v>46174.573611111111</v>
      </c>
    </row>
    <row r="23" spans="1:5" ht="24" customHeight="1" x14ac:dyDescent="0.25">
      <c r="A23" s="297" t="s">
        <v>428</v>
      </c>
      <c r="B23" s="298" t="s">
        <v>429</v>
      </c>
      <c r="C23" s="297" t="s">
        <v>125</v>
      </c>
      <c r="D23" s="297">
        <v>50</v>
      </c>
      <c r="E23" s="299">
        <v>46174.573611111111</v>
      </c>
    </row>
    <row r="24" spans="1:5" ht="24" customHeight="1" x14ac:dyDescent="0.25">
      <c r="A24" s="297" t="s">
        <v>428</v>
      </c>
      <c r="B24" s="298" t="s">
        <v>429</v>
      </c>
      <c r="C24" s="297" t="s">
        <v>253</v>
      </c>
      <c r="D24" s="297">
        <v>20000</v>
      </c>
      <c r="E24" s="299">
        <v>46174.573611111111</v>
      </c>
    </row>
    <row r="25" spans="1:5" ht="24" customHeight="1" x14ac:dyDescent="0.25">
      <c r="A25" s="297" t="s">
        <v>428</v>
      </c>
      <c r="B25" s="298" t="s">
        <v>431</v>
      </c>
      <c r="C25" s="297" t="s">
        <v>430</v>
      </c>
      <c r="D25" s="297">
        <v>500000</v>
      </c>
      <c r="E25" s="299">
        <v>46174.573611111111</v>
      </c>
    </row>
  </sheetData>
  <mergeCells count="1">
    <mergeCell ref="A20:B20"/>
  </mergeCell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78D6-CA52-42E2-A58C-D31D12280A9B}">
  <sheetPr codeName="Sheet2">
    <tabColor theme="3"/>
  </sheetPr>
  <dimension ref="A1:AJ112"/>
  <sheetViews>
    <sheetView showGridLines="0" topLeftCell="D1" zoomScale="85" zoomScaleNormal="85" workbookViewId="0">
      <pane ySplit="3" topLeftCell="A70" activePane="bottomLeft" state="frozen"/>
      <selection activeCell="D3" sqref="D3"/>
      <selection pane="bottomLeft" activeCell="L96" sqref="L96"/>
    </sheetView>
  </sheetViews>
  <sheetFormatPr defaultColWidth="12.42578125" defaultRowHeight="15" x14ac:dyDescent="0.25"/>
  <cols>
    <col min="1" max="1" width="3.28515625" style="40" customWidth="1"/>
    <col min="2" max="2" width="5.7109375" style="40" customWidth="1"/>
    <col min="3" max="3" width="10.140625" style="40" customWidth="1"/>
    <col min="4" max="4" width="37.28515625" style="40" customWidth="1"/>
    <col min="5" max="5" width="37.140625" style="40" customWidth="1"/>
    <col min="6" max="6" width="43.85546875" style="40" customWidth="1"/>
    <col min="7" max="7" width="38.28515625" style="40" customWidth="1"/>
    <col min="8" max="9" width="30.42578125" style="40" customWidth="1"/>
    <col min="10" max="10" width="30.5703125" style="40" customWidth="1"/>
    <col min="11" max="11" width="35" style="40" customWidth="1"/>
    <col min="12" max="12" width="29.28515625" style="40" customWidth="1"/>
    <col min="13" max="14" width="36" style="40" customWidth="1"/>
    <col min="15" max="15" width="22.85546875" style="40" customWidth="1"/>
    <col min="16" max="16" width="32.7109375" style="40" customWidth="1"/>
    <col min="17" max="17" width="12.42578125" style="40" customWidth="1"/>
    <col min="18" max="19" width="12.42578125" style="40"/>
    <col min="20" max="34" width="12.42578125" style="40" customWidth="1"/>
    <col min="35" max="35" width="41.85546875" style="58" hidden="1" customWidth="1"/>
    <col min="36" max="16384" width="12.42578125" style="40"/>
  </cols>
  <sheetData>
    <row r="1" spans="1:35" s="43" customFormat="1" ht="23.25" customHeight="1" x14ac:dyDescent="0.25">
      <c r="B1" s="44"/>
      <c r="C1" s="45"/>
      <c r="D1" s="45"/>
      <c r="F1" s="46" t="s">
        <v>99</v>
      </c>
      <c r="G1" s="47"/>
      <c r="I1" s="48"/>
      <c r="J1" s="49"/>
      <c r="K1" s="49"/>
      <c r="L1" s="49"/>
      <c r="M1" s="49"/>
      <c r="N1" s="49"/>
      <c r="AI1" s="50" t="s">
        <v>72</v>
      </c>
    </row>
    <row r="2" spans="1:35" s="43" customFormat="1" ht="23.25" customHeight="1" x14ac:dyDescent="0.25">
      <c r="A2" s="267" t="s">
        <v>0</v>
      </c>
      <c r="B2" s="267"/>
      <c r="C2" s="267"/>
      <c r="D2" s="51" t="str">
        <f>Master_Input!C6</f>
        <v>2023-2024</v>
      </c>
      <c r="F2" s="52" t="s">
        <v>87</v>
      </c>
      <c r="G2" s="53"/>
      <c r="I2" s="48"/>
      <c r="AI2" s="50" t="s">
        <v>72</v>
      </c>
    </row>
    <row r="3" spans="1:35" s="43" customFormat="1" ht="21" customHeight="1" x14ac:dyDescent="0.25">
      <c r="A3" s="266" t="s">
        <v>27</v>
      </c>
      <c r="B3" s="266"/>
      <c r="C3" s="266"/>
      <c r="D3" s="54" t="str">
        <f>Master_Input!C7</f>
        <v>FJD</v>
      </c>
      <c r="AI3" s="55"/>
    </row>
    <row r="4" spans="1:35" s="56" customFormat="1" ht="15.95" customHeight="1" x14ac:dyDescent="0.25">
      <c r="B4" s="57"/>
      <c r="C4" s="57"/>
      <c r="D4" s="57"/>
      <c r="AI4" s="58"/>
    </row>
    <row r="5" spans="1:35" x14ac:dyDescent="0.25">
      <c r="C5" s="59" t="s">
        <v>1</v>
      </c>
      <c r="D5" s="59" t="s">
        <v>2</v>
      </c>
      <c r="E5" s="59"/>
    </row>
    <row r="6" spans="1:35" x14ac:dyDescent="0.25">
      <c r="C6" s="59"/>
      <c r="D6" s="60" t="s">
        <v>3</v>
      </c>
      <c r="E6" s="59"/>
    </row>
    <row r="7" spans="1:35" x14ac:dyDescent="0.25">
      <c r="B7" s="61"/>
      <c r="C7" s="62" t="s">
        <v>4</v>
      </c>
      <c r="D7" s="263" t="s">
        <v>5</v>
      </c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5"/>
    </row>
    <row r="8" spans="1:35" s="63" customFormat="1" ht="18" customHeight="1" x14ac:dyDescent="0.25">
      <c r="C8" s="64" t="s">
        <v>6</v>
      </c>
      <c r="D8" s="64" t="s">
        <v>7</v>
      </c>
      <c r="E8" s="64" t="s">
        <v>8</v>
      </c>
      <c r="F8" s="64" t="s">
        <v>9</v>
      </c>
      <c r="G8" s="64" t="s">
        <v>73</v>
      </c>
      <c r="H8" s="64" t="s">
        <v>74</v>
      </c>
      <c r="I8" s="64" t="s">
        <v>75</v>
      </c>
      <c r="J8" s="64" t="s">
        <v>80</v>
      </c>
      <c r="K8" s="64" t="s">
        <v>76</v>
      </c>
      <c r="L8" s="64" t="s">
        <v>77</v>
      </c>
      <c r="M8" s="65" t="s">
        <v>78</v>
      </c>
      <c r="N8" s="65" t="s">
        <v>79</v>
      </c>
      <c r="O8" s="64" t="s">
        <v>41</v>
      </c>
      <c r="P8" s="64" t="s">
        <v>10</v>
      </c>
      <c r="AI8" s="58" t="s">
        <v>36</v>
      </c>
    </row>
    <row r="9" spans="1:35" s="63" customFormat="1" x14ac:dyDescent="0.25">
      <c r="C9" s="22"/>
      <c r="D9" s="22"/>
      <c r="E9" s="22"/>
      <c r="F9" s="22"/>
      <c r="G9" s="22"/>
      <c r="H9" s="22"/>
      <c r="I9" s="22"/>
      <c r="J9" s="22"/>
      <c r="K9" s="22"/>
      <c r="L9" s="22"/>
      <c r="M9" s="86"/>
      <c r="N9" s="22">
        <f>SUM(F9:L9)*M9</f>
        <v>0</v>
      </c>
      <c r="O9" s="22"/>
      <c r="P9" s="22"/>
      <c r="AI9" s="58"/>
    </row>
    <row r="10" spans="1:35" s="63" customFormat="1" x14ac:dyDescent="0.2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86"/>
      <c r="N10" s="22">
        <f>SUM(F10:L10)*M10</f>
        <v>0</v>
      </c>
      <c r="O10" s="22"/>
      <c r="P10" s="22"/>
      <c r="AI10" s="58"/>
    </row>
    <row r="11" spans="1:35" s="63" customFormat="1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86"/>
      <c r="N11" s="22">
        <f>SUM(F11:L11)*M11</f>
        <v>0</v>
      </c>
      <c r="O11" s="22"/>
      <c r="P11" s="22"/>
      <c r="AI11" s="58"/>
    </row>
    <row r="12" spans="1:35" s="63" customFormat="1" x14ac:dyDescent="0.2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86"/>
      <c r="N12" s="22">
        <f>SUM(F12:L12)*M12</f>
        <v>0</v>
      </c>
      <c r="O12" s="22"/>
      <c r="P12" s="22"/>
      <c r="AI12" s="58"/>
    </row>
    <row r="13" spans="1:35" s="63" customFormat="1" x14ac:dyDescent="0.2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86"/>
      <c r="N13" s="22">
        <f>SUM(F13:L13)*M13</f>
        <v>0</v>
      </c>
      <c r="O13" s="22"/>
      <c r="P13" s="22"/>
      <c r="AI13" s="58"/>
    </row>
    <row r="14" spans="1:35" s="63" customFormat="1" x14ac:dyDescent="0.25"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86"/>
      <c r="N14" s="22">
        <f t="shared" ref="N14:N18" si="0">SUM(F14:L14)*M14</f>
        <v>0</v>
      </c>
      <c r="O14" s="22"/>
      <c r="P14" s="22"/>
      <c r="AI14" s="58"/>
    </row>
    <row r="15" spans="1:35" s="63" customFormat="1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86"/>
      <c r="N15" s="22">
        <f>SUM(F15:L15)*M15</f>
        <v>0</v>
      </c>
      <c r="O15" s="22"/>
      <c r="P15" s="22"/>
      <c r="AI15" s="58"/>
    </row>
    <row r="16" spans="1:35" s="63" customFormat="1" x14ac:dyDescent="0.25"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86"/>
      <c r="N16" s="22">
        <f>SUM(F16:L16)*M16</f>
        <v>0</v>
      </c>
      <c r="O16" s="22"/>
      <c r="P16" s="22"/>
      <c r="AI16" s="58"/>
    </row>
    <row r="17" spans="2:35" s="63" customFormat="1" x14ac:dyDescent="0.25"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86"/>
      <c r="N17" s="22">
        <f>SUM(F17:L17)*M17</f>
        <v>0</v>
      </c>
      <c r="O17" s="22"/>
      <c r="P17" s="22"/>
      <c r="AI17" s="58"/>
    </row>
    <row r="18" spans="2:35" s="63" customFormat="1" x14ac:dyDescent="0.25"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86"/>
      <c r="N18" s="22">
        <f t="shared" si="0"/>
        <v>0</v>
      </c>
      <c r="O18" s="22"/>
      <c r="P18" s="22"/>
      <c r="AI18" s="58"/>
    </row>
    <row r="19" spans="2:35" ht="15.75" thickBot="1" x14ac:dyDescent="0.3">
      <c r="B19" s="61"/>
      <c r="C19" s="17" t="s">
        <v>40</v>
      </c>
      <c r="D19" s="17"/>
      <c r="E19" s="17"/>
      <c r="F19" s="17">
        <f>SUBTOTAL(109,PERSONNEL_REGULAR[Annual Salary])</f>
        <v>0</v>
      </c>
      <c r="G19" s="17">
        <f>SUBTOTAL(109,PERSONNEL_REGULAR[Benefit/Contribution (1)])</f>
        <v>0</v>
      </c>
      <c r="H19" s="17">
        <f>SUBTOTAL(109,PERSONNEL_REGULAR[Benefit/Contribution (2)])</f>
        <v>0</v>
      </c>
      <c r="I19" s="17">
        <f>SUBTOTAL(109,PERSONNEL_REGULAR[Benefit/Contribution (3)])</f>
        <v>0</v>
      </c>
      <c r="J19" s="17">
        <f>SUBTOTAL(109,PERSONNEL_REGULAR[Benefit/Contribution (4)])</f>
        <v>0</v>
      </c>
      <c r="K19" s="17">
        <f>SUBTOTAL(109,PERSONNEL_REGULAR[Benefit/Contribution (5)])</f>
        <v>0</v>
      </c>
      <c r="L19" s="17">
        <f>SUBTOTAL(109,PERSONNEL_REGULAR[Other Benefits])</f>
        <v>0</v>
      </c>
      <c r="M19" s="17"/>
      <c r="N19" s="17">
        <f>SUBTOTAL(109,PERSONNEL_REGULAR[Total Yearly Personnel Expense])</f>
        <v>0</v>
      </c>
      <c r="O19" s="17"/>
      <c r="P19" s="17"/>
    </row>
    <row r="20" spans="2:35" ht="15.75" thickTop="1" x14ac:dyDescent="0.25">
      <c r="B20" s="61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R20" s="63"/>
    </row>
    <row r="21" spans="2:35" x14ac:dyDescent="0.25">
      <c r="B21" s="61"/>
      <c r="C21" s="63"/>
      <c r="D21" s="63"/>
      <c r="E21" s="63"/>
      <c r="F21" s="63"/>
      <c r="G21" s="63"/>
      <c r="I21" s="63"/>
      <c r="J21" s="63"/>
      <c r="K21" s="63"/>
      <c r="L21" s="63"/>
      <c r="M21" s="63"/>
      <c r="N21" s="63"/>
      <c r="O21" s="63"/>
      <c r="P21" s="63"/>
    </row>
    <row r="22" spans="2:35" s="63" customFormat="1" ht="18.75" customHeight="1" x14ac:dyDescent="0.25">
      <c r="AI22" s="58"/>
    </row>
    <row r="23" spans="2:35" s="63" customFormat="1" x14ac:dyDescent="0.25">
      <c r="C23" s="62" t="s">
        <v>11</v>
      </c>
      <c r="D23" s="263" t="s">
        <v>46</v>
      </c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5"/>
      <c r="AI23" s="58"/>
    </row>
    <row r="24" spans="2:35" s="63" customFormat="1" ht="14.25" customHeight="1" x14ac:dyDescent="0.25">
      <c r="C24" s="64" t="s">
        <v>6</v>
      </c>
      <c r="D24" s="64" t="s">
        <v>7</v>
      </c>
      <c r="E24" s="64" t="s">
        <v>8</v>
      </c>
      <c r="F24" s="64" t="s">
        <v>9</v>
      </c>
      <c r="G24" s="64" t="s">
        <v>73</v>
      </c>
      <c r="H24" s="64" t="s">
        <v>74</v>
      </c>
      <c r="I24" s="64" t="s">
        <v>75</v>
      </c>
      <c r="J24" s="64" t="s">
        <v>80</v>
      </c>
      <c r="K24" s="64" t="s">
        <v>76</v>
      </c>
      <c r="L24" s="64" t="s">
        <v>77</v>
      </c>
      <c r="M24" s="65" t="s">
        <v>78</v>
      </c>
      <c r="N24" s="65" t="s">
        <v>79</v>
      </c>
      <c r="O24" s="64" t="s">
        <v>41</v>
      </c>
      <c r="P24" s="64" t="s">
        <v>10</v>
      </c>
      <c r="AI24" s="58" t="s">
        <v>36</v>
      </c>
    </row>
    <row r="25" spans="2:35" s="63" customFormat="1" x14ac:dyDescent="0.25"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86"/>
      <c r="N25" s="22">
        <f t="shared" ref="N25:N30" si="1">SUM(F25:L25)*M25</f>
        <v>0</v>
      </c>
      <c r="O25" s="22"/>
      <c r="P25" s="22"/>
      <c r="AI25" s="58"/>
    </row>
    <row r="26" spans="2:35" s="63" customFormat="1" x14ac:dyDescent="0.25"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86"/>
      <c r="N26" s="22">
        <f t="shared" si="1"/>
        <v>0</v>
      </c>
      <c r="O26" s="22"/>
      <c r="P26" s="22"/>
      <c r="AI26" s="58"/>
    </row>
    <row r="27" spans="2:35" s="63" customFormat="1" x14ac:dyDescent="0.25"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86"/>
      <c r="N27" s="22">
        <f t="shared" si="1"/>
        <v>0</v>
      </c>
      <c r="O27" s="22"/>
      <c r="P27" s="22"/>
      <c r="AI27" s="58"/>
    </row>
    <row r="28" spans="2:35" s="63" customFormat="1" x14ac:dyDescent="0.25"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86"/>
      <c r="N28" s="22">
        <f>SUM(F28:L28)*M28</f>
        <v>0</v>
      </c>
      <c r="O28" s="22"/>
      <c r="P28" s="22"/>
      <c r="AI28" s="58"/>
    </row>
    <row r="29" spans="2:35" s="63" customFormat="1" x14ac:dyDescent="0.25"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86"/>
      <c r="N29" s="22">
        <f t="shared" si="1"/>
        <v>0</v>
      </c>
      <c r="O29" s="22"/>
      <c r="P29" s="22"/>
      <c r="AI29" s="58"/>
    </row>
    <row r="30" spans="2:35" s="63" customFormat="1" x14ac:dyDescent="0.25">
      <c r="B30" s="4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86"/>
      <c r="N30" s="22">
        <f t="shared" si="1"/>
        <v>0</v>
      </c>
      <c r="O30" s="22"/>
      <c r="P30" s="22"/>
      <c r="AI30" s="58"/>
    </row>
    <row r="31" spans="2:35" s="63" customFormat="1" ht="15.75" thickBot="1" x14ac:dyDescent="0.3">
      <c r="B31" s="40"/>
      <c r="C31" s="17" t="s">
        <v>40</v>
      </c>
      <c r="D31" s="17"/>
      <c r="E31" s="17"/>
      <c r="F31" s="17">
        <f>SUBTOTAL(109,PERSONNEL_CONTRACTUAL[Annual Salary])</f>
        <v>0</v>
      </c>
      <c r="G31" s="17">
        <f>SUBTOTAL(109,PERSONNEL_CONTRACTUAL[Benefit/Contribution (1)])</f>
        <v>0</v>
      </c>
      <c r="H31" s="17">
        <f>SUBTOTAL(109,PERSONNEL_CONTRACTUAL[Benefit/Contribution (2)])</f>
        <v>0</v>
      </c>
      <c r="I31" s="17">
        <f>SUBTOTAL(109,PERSONNEL_CONTRACTUAL[Benefit/Contribution (3)])</f>
        <v>0</v>
      </c>
      <c r="J31" s="17">
        <f>SUBTOTAL(109,PERSONNEL_CONTRACTUAL[Benefit/Contribution (4)])</f>
        <v>0</v>
      </c>
      <c r="K31" s="17">
        <f>SUBTOTAL(109,PERSONNEL_CONTRACTUAL[Benefit/Contribution (5)])</f>
        <v>0</v>
      </c>
      <c r="L31" s="17">
        <f>SUBTOTAL(109,PERSONNEL_CONTRACTUAL[Other Benefits])</f>
        <v>0</v>
      </c>
      <c r="M31" s="17"/>
      <c r="N31" s="17">
        <f>SUBTOTAL(109,PERSONNEL_CONTRACTUAL[Total Yearly Personnel Expense])</f>
        <v>0</v>
      </c>
      <c r="O31" s="17"/>
      <c r="P31" s="17"/>
      <c r="AI31" s="58"/>
    </row>
    <row r="32" spans="2:35" s="63" customFormat="1" ht="15.75" thickTop="1" x14ac:dyDescent="0.25">
      <c r="B32" s="40"/>
      <c r="AI32" s="58"/>
    </row>
    <row r="33" spans="2:35" s="63" customFormat="1" x14ac:dyDescent="0.25">
      <c r="B33" s="40"/>
      <c r="AI33" s="58"/>
    </row>
    <row r="34" spans="2:35" s="63" customFormat="1" x14ac:dyDescent="0.25">
      <c r="AI34" s="58"/>
    </row>
    <row r="35" spans="2:35" s="63" customFormat="1" x14ac:dyDescent="0.25">
      <c r="G35" s="40"/>
      <c r="AI35" s="58"/>
    </row>
    <row r="36" spans="2:35" s="63" customFormat="1" x14ac:dyDescent="0.25">
      <c r="C36" s="59" t="s">
        <v>1</v>
      </c>
      <c r="D36" s="59" t="s">
        <v>2</v>
      </c>
      <c r="E36" s="59"/>
      <c r="AI36" s="58"/>
    </row>
    <row r="37" spans="2:35" s="63" customFormat="1" x14ac:dyDescent="0.25">
      <c r="C37" s="59"/>
      <c r="D37" s="60" t="s">
        <v>50</v>
      </c>
      <c r="E37" s="59"/>
      <c r="AI37" s="58"/>
    </row>
    <row r="38" spans="2:35" s="63" customFormat="1" x14ac:dyDescent="0.25">
      <c r="C38" s="66" t="s">
        <v>6</v>
      </c>
      <c r="D38" s="23" t="s">
        <v>12</v>
      </c>
      <c r="E38" s="23" t="s">
        <v>13</v>
      </c>
      <c r="F38" s="67" t="s">
        <v>10</v>
      </c>
      <c r="AI38" s="58" t="s">
        <v>36</v>
      </c>
    </row>
    <row r="39" spans="2:35" s="63" customFormat="1" x14ac:dyDescent="0.25">
      <c r="C39" s="22"/>
      <c r="D39" s="68" t="s">
        <v>52</v>
      </c>
      <c r="E39" s="22"/>
      <c r="F39" s="22"/>
      <c r="AI39" s="58"/>
    </row>
    <row r="40" spans="2:35" s="63" customFormat="1" x14ac:dyDescent="0.25">
      <c r="C40" s="22"/>
      <c r="D40" s="68" t="s">
        <v>53</v>
      </c>
      <c r="E40" s="22"/>
      <c r="F40" s="22"/>
      <c r="AI40" s="58"/>
    </row>
    <row r="41" spans="2:35" s="63" customFormat="1" x14ac:dyDescent="0.25">
      <c r="C41" s="22"/>
      <c r="D41" s="68" t="s">
        <v>54</v>
      </c>
      <c r="E41" s="22"/>
      <c r="F41" s="22"/>
      <c r="AI41" s="58"/>
    </row>
    <row r="42" spans="2:35" s="63" customFormat="1" x14ac:dyDescent="0.25">
      <c r="C42" s="22"/>
      <c r="D42" s="68" t="s">
        <v>55</v>
      </c>
      <c r="E42" s="22"/>
      <c r="F42" s="22"/>
      <c r="AI42" s="58"/>
    </row>
    <row r="43" spans="2:35" s="63" customFormat="1" x14ac:dyDescent="0.25">
      <c r="C43" s="22"/>
      <c r="D43" s="68" t="s">
        <v>56</v>
      </c>
      <c r="E43" s="22"/>
      <c r="F43" s="22"/>
      <c r="AI43" s="58"/>
    </row>
    <row r="44" spans="2:35" s="63" customFormat="1" x14ac:dyDescent="0.25">
      <c r="C44" s="22"/>
      <c r="D44" s="40" t="s">
        <v>57</v>
      </c>
      <c r="E44" s="22"/>
      <c r="F44" s="22"/>
      <c r="AI44" s="58"/>
    </row>
    <row r="45" spans="2:35" s="63" customFormat="1" x14ac:dyDescent="0.25">
      <c r="C45" s="22"/>
      <c r="D45" s="40" t="s">
        <v>58</v>
      </c>
      <c r="E45" s="22"/>
      <c r="F45" s="22"/>
      <c r="AI45" s="58"/>
    </row>
    <row r="46" spans="2:35" s="63" customFormat="1" x14ac:dyDescent="0.25">
      <c r="C46" s="22"/>
      <c r="D46" s="40" t="s">
        <v>59</v>
      </c>
      <c r="E46" s="22"/>
      <c r="F46" s="22"/>
      <c r="AI46" s="58"/>
    </row>
    <row r="47" spans="2:35" s="63" customFormat="1" x14ac:dyDescent="0.25">
      <c r="C47" s="22"/>
      <c r="D47" s="40" t="s">
        <v>60</v>
      </c>
      <c r="E47" s="22"/>
      <c r="F47" s="22"/>
      <c r="AI47" s="58"/>
    </row>
    <row r="48" spans="2:35" s="63" customFormat="1" x14ac:dyDescent="0.25">
      <c r="C48" s="22"/>
      <c r="D48" s="40" t="s">
        <v>61</v>
      </c>
      <c r="E48" s="22"/>
      <c r="F48" s="22"/>
      <c r="AI48" s="58"/>
    </row>
    <row r="49" spans="2:35" s="63" customFormat="1" x14ac:dyDescent="0.25">
      <c r="C49" s="22"/>
      <c r="D49" s="40" t="s">
        <v>62</v>
      </c>
      <c r="E49" s="22"/>
      <c r="F49" s="22"/>
      <c r="AI49" s="58"/>
    </row>
    <row r="50" spans="2:35" s="63" customFormat="1" x14ac:dyDescent="0.25">
      <c r="C50" s="22"/>
      <c r="D50" s="40" t="s">
        <v>63</v>
      </c>
      <c r="E50" s="22"/>
      <c r="F50" s="22"/>
      <c r="AI50" s="58"/>
    </row>
    <row r="51" spans="2:35" s="63" customFormat="1" x14ac:dyDescent="0.25">
      <c r="C51" s="22"/>
      <c r="D51" s="40" t="s">
        <v>64</v>
      </c>
      <c r="E51" s="22"/>
      <c r="F51" s="22"/>
      <c r="AI51" s="58"/>
    </row>
    <row r="52" spans="2:35" s="63" customFormat="1" x14ac:dyDescent="0.25">
      <c r="C52" s="22"/>
      <c r="D52" s="68" t="s">
        <v>66</v>
      </c>
      <c r="E52" s="22"/>
      <c r="F52" s="22"/>
      <c r="AI52" s="58"/>
    </row>
    <row r="53" spans="2:35" s="63" customFormat="1" x14ac:dyDescent="0.25">
      <c r="C53" s="22"/>
      <c r="D53" s="68" t="s">
        <v>67</v>
      </c>
      <c r="E53" s="22"/>
      <c r="F53" s="22"/>
      <c r="AI53" s="58"/>
    </row>
    <row r="54" spans="2:35" s="63" customFormat="1" x14ac:dyDescent="0.25">
      <c r="C54" s="22"/>
      <c r="D54" s="68" t="s">
        <v>68</v>
      </c>
      <c r="E54" s="22"/>
      <c r="F54" s="22"/>
      <c r="AI54" s="58"/>
    </row>
    <row r="55" spans="2:35" s="63" customFormat="1" x14ac:dyDescent="0.25">
      <c r="C55" s="22"/>
      <c r="D55" s="68" t="s">
        <v>69</v>
      </c>
      <c r="E55" s="22"/>
      <c r="F55" s="22"/>
      <c r="AI55" s="58"/>
    </row>
    <row r="56" spans="2:35" s="63" customFormat="1" x14ac:dyDescent="0.25">
      <c r="C56" s="22"/>
      <c r="D56" s="68" t="s">
        <v>70</v>
      </c>
      <c r="E56" s="22"/>
      <c r="F56" s="22"/>
      <c r="AI56" s="58"/>
    </row>
    <row r="57" spans="2:35" s="63" customFormat="1" x14ac:dyDescent="0.25">
      <c r="C57" s="22"/>
      <c r="D57" s="68" t="s">
        <v>65</v>
      </c>
      <c r="E57" s="22"/>
      <c r="F57" s="22"/>
      <c r="AI57" s="58"/>
    </row>
    <row r="58" spans="2:35" s="63" customFormat="1" x14ac:dyDescent="0.25">
      <c r="C58" s="22"/>
      <c r="D58" s="68" t="s">
        <v>65</v>
      </c>
      <c r="E58" s="22"/>
      <c r="F58" s="22"/>
      <c r="AI58" s="58"/>
    </row>
    <row r="59" spans="2:35" s="63" customFormat="1" x14ac:dyDescent="0.25">
      <c r="C59" s="22"/>
      <c r="D59" s="68" t="s">
        <v>65</v>
      </c>
      <c r="E59" s="22"/>
      <c r="F59" s="22"/>
      <c r="AI59" s="58"/>
    </row>
    <row r="60" spans="2:35" s="63" customFormat="1" x14ac:dyDescent="0.25">
      <c r="C60" s="22"/>
      <c r="D60" s="68" t="s">
        <v>65</v>
      </c>
      <c r="E60" s="22"/>
      <c r="F60" s="22"/>
      <c r="AI60" s="58"/>
    </row>
    <row r="61" spans="2:35" s="63" customFormat="1" x14ac:dyDescent="0.25">
      <c r="C61" s="22"/>
      <c r="D61" s="68" t="s">
        <v>65</v>
      </c>
      <c r="E61" s="22"/>
      <c r="F61" s="22"/>
      <c r="AI61" s="58"/>
    </row>
    <row r="62" spans="2:35" s="63" customFormat="1" x14ac:dyDescent="0.25">
      <c r="C62" s="22"/>
      <c r="D62" s="68" t="s">
        <v>65</v>
      </c>
      <c r="E62" s="22"/>
      <c r="F62" s="22"/>
      <c r="AI62" s="58"/>
    </row>
    <row r="63" spans="2:35" s="63" customFormat="1" x14ac:dyDescent="0.25">
      <c r="B63" s="40"/>
      <c r="C63" s="22"/>
      <c r="D63" s="68" t="s">
        <v>65</v>
      </c>
      <c r="E63" s="22"/>
      <c r="F63" s="22"/>
      <c r="AI63" s="58"/>
    </row>
    <row r="64" spans="2:35" s="63" customFormat="1" x14ac:dyDescent="0.25">
      <c r="B64" s="40"/>
      <c r="C64" s="22"/>
      <c r="D64" s="68" t="s">
        <v>65</v>
      </c>
      <c r="E64" s="22"/>
      <c r="F64" s="22"/>
      <c r="AI64" s="58"/>
    </row>
    <row r="65" spans="2:35" s="63" customFormat="1" x14ac:dyDescent="0.25">
      <c r="B65" s="40"/>
      <c r="C65" s="22"/>
      <c r="D65" s="68" t="s">
        <v>65</v>
      </c>
      <c r="E65" s="22"/>
      <c r="F65" s="22"/>
      <c r="AI65" s="58"/>
    </row>
    <row r="66" spans="2:35" s="63" customFormat="1" ht="15.75" thickBot="1" x14ac:dyDescent="0.3">
      <c r="B66" s="40"/>
      <c r="C66" s="17" t="s">
        <v>40</v>
      </c>
      <c r="D66" s="17"/>
      <c r="E66" s="17">
        <f>SUBTOTAL(109,OPEX_COSTS[Total Annual Cost])</f>
        <v>0</v>
      </c>
      <c r="F66" s="17"/>
      <c r="AI66" s="58"/>
    </row>
    <row r="67" spans="2:35" s="63" customFormat="1" ht="15.75" thickTop="1" x14ac:dyDescent="0.25">
      <c r="B67" s="40"/>
      <c r="AI67" s="58"/>
    </row>
    <row r="68" spans="2:35" s="63" customFormat="1" x14ac:dyDescent="0.25">
      <c r="AI68" s="58"/>
    </row>
    <row r="69" spans="2:35" s="63" customFormat="1" x14ac:dyDescent="0.25">
      <c r="AI69" s="58"/>
    </row>
    <row r="70" spans="2:35" s="63" customFormat="1" x14ac:dyDescent="0.25">
      <c r="C70" s="59" t="s">
        <v>1</v>
      </c>
      <c r="D70" s="59" t="s">
        <v>2</v>
      </c>
      <c r="E70" s="59"/>
      <c r="AI70" s="58"/>
    </row>
    <row r="71" spans="2:35" s="63" customFormat="1" x14ac:dyDescent="0.25">
      <c r="C71" s="59"/>
      <c r="D71" s="60" t="s">
        <v>81</v>
      </c>
      <c r="E71" s="59"/>
      <c r="AI71" s="58"/>
    </row>
    <row r="72" spans="2:35" s="63" customFormat="1" x14ac:dyDescent="0.25">
      <c r="C72" s="66" t="s">
        <v>28</v>
      </c>
      <c r="D72" s="23" t="s">
        <v>12</v>
      </c>
      <c r="E72" s="23" t="s">
        <v>14</v>
      </c>
      <c r="F72" s="23" t="s">
        <v>15</v>
      </c>
      <c r="G72" s="23" t="s">
        <v>13</v>
      </c>
      <c r="H72" s="67" t="s">
        <v>10</v>
      </c>
      <c r="AI72" s="58" t="s">
        <v>36</v>
      </c>
    </row>
    <row r="73" spans="2:35" s="63" customFormat="1" x14ac:dyDescent="0.25">
      <c r="C73" s="22"/>
      <c r="D73" s="22"/>
      <c r="E73" s="22"/>
      <c r="F73" s="22"/>
      <c r="G73" s="22">
        <f>OTHER_COST[[#This Row],[Cost per Unit]]*OTHER_COST[[#This Row],[Units]]</f>
        <v>0</v>
      </c>
      <c r="H73" s="22"/>
      <c r="AI73" s="58"/>
    </row>
    <row r="74" spans="2:35" s="63" customFormat="1" x14ac:dyDescent="0.25">
      <c r="C74" s="22"/>
      <c r="D74" s="22"/>
      <c r="E74" s="22"/>
      <c r="F74" s="22"/>
      <c r="G74" s="22">
        <f>OTHER_COST[[#This Row],[Cost per Unit]]*OTHER_COST[[#This Row],[Units]]</f>
        <v>0</v>
      </c>
      <c r="H74" s="22"/>
      <c r="AI74" s="58"/>
    </row>
    <row r="75" spans="2:35" s="63" customFormat="1" x14ac:dyDescent="0.25">
      <c r="C75" s="22"/>
      <c r="D75" s="22"/>
      <c r="E75" s="22"/>
      <c r="F75" s="22"/>
      <c r="G75" s="22">
        <f>OTHER_COST[[#This Row],[Cost per Unit]]*OTHER_COST[[#This Row],[Units]]</f>
        <v>0</v>
      </c>
      <c r="H75" s="22"/>
      <c r="AI75" s="58"/>
    </row>
    <row r="76" spans="2:35" s="63" customFormat="1" x14ac:dyDescent="0.25">
      <c r="C76" s="22"/>
      <c r="D76" s="22"/>
      <c r="E76" s="22"/>
      <c r="F76" s="22"/>
      <c r="G76" s="22">
        <f>OTHER_COST[[#This Row],[Cost per Unit]]*OTHER_COST[[#This Row],[Units]]</f>
        <v>0</v>
      </c>
      <c r="H76" s="22"/>
      <c r="AI76" s="58"/>
    </row>
    <row r="77" spans="2:35" s="63" customFormat="1" x14ac:dyDescent="0.25">
      <c r="B77" s="40"/>
      <c r="C77" s="22"/>
      <c r="D77" s="22"/>
      <c r="E77" s="22"/>
      <c r="F77" s="22"/>
      <c r="G77" s="22">
        <f>OTHER_COST[[#This Row],[Cost per Unit]]*OTHER_COST[[#This Row],[Units]]</f>
        <v>0</v>
      </c>
      <c r="H77" s="22"/>
      <c r="AI77" s="58"/>
    </row>
    <row r="78" spans="2:35" s="63" customFormat="1" x14ac:dyDescent="0.25">
      <c r="B78" s="40"/>
      <c r="C78" s="22"/>
      <c r="D78" s="22"/>
      <c r="E78" s="22"/>
      <c r="F78" s="22"/>
      <c r="G78" s="22">
        <f>OTHER_COST[[#This Row],[Cost per Unit]]*OTHER_COST[[#This Row],[Units]]</f>
        <v>0</v>
      </c>
      <c r="H78" s="22"/>
      <c r="AI78" s="58"/>
    </row>
    <row r="79" spans="2:35" s="63" customFormat="1" x14ac:dyDescent="0.25">
      <c r="B79" s="40"/>
      <c r="C79" s="22"/>
      <c r="D79" s="22"/>
      <c r="E79" s="22"/>
      <c r="F79" s="22"/>
      <c r="G79" s="22">
        <f t="shared" ref="G79" si="2">E79*F79</f>
        <v>0</v>
      </c>
      <c r="H79" s="22"/>
      <c r="AI79" s="58"/>
    </row>
    <row r="80" spans="2:35" s="63" customFormat="1" ht="15.75" thickBot="1" x14ac:dyDescent="0.3">
      <c r="B80" s="40"/>
      <c r="C80" s="69" t="s">
        <v>40</v>
      </c>
      <c r="D80" s="69"/>
      <c r="E80" s="69"/>
      <c r="F80" s="69"/>
      <c r="G80" s="69">
        <f>SUBTOTAL(109,OTHER_COST[Total Annual Cost])</f>
        <v>0</v>
      </c>
      <c r="H80" s="69"/>
      <c r="AI80" s="58"/>
    </row>
    <row r="81" spans="2:36" s="63" customFormat="1" ht="15.75" thickTop="1" x14ac:dyDescent="0.25">
      <c r="B81" s="40"/>
      <c r="AI81" s="58"/>
    </row>
    <row r="82" spans="2:36" s="63" customFormat="1" x14ac:dyDescent="0.25">
      <c r="B82" s="40"/>
      <c r="AI82" s="58"/>
    </row>
    <row r="83" spans="2:36" s="63" customFormat="1" x14ac:dyDescent="0.25">
      <c r="AI83" s="58"/>
    </row>
    <row r="84" spans="2:36" s="63" customFormat="1" x14ac:dyDescent="0.25">
      <c r="C84" s="59" t="s">
        <v>1</v>
      </c>
      <c r="D84" s="59" t="s">
        <v>2</v>
      </c>
      <c r="E84" s="59"/>
      <c r="AI84" s="58"/>
    </row>
    <row r="85" spans="2:36" s="63" customFormat="1" x14ac:dyDescent="0.25">
      <c r="C85" s="59"/>
      <c r="D85" s="60" t="s">
        <v>16</v>
      </c>
      <c r="E85" s="59"/>
      <c r="AI85" s="58"/>
    </row>
    <row r="86" spans="2:36" s="70" customFormat="1" ht="33" customHeight="1" x14ac:dyDescent="0.25">
      <c r="C86" s="71" t="s">
        <v>17</v>
      </c>
      <c r="D86" s="24" t="s">
        <v>12</v>
      </c>
      <c r="E86" s="24" t="s">
        <v>18</v>
      </c>
      <c r="F86" s="24" t="s">
        <v>19</v>
      </c>
      <c r="G86" s="24" t="s">
        <v>20</v>
      </c>
      <c r="H86" s="24" t="s">
        <v>21</v>
      </c>
      <c r="I86" s="24" t="s">
        <v>22</v>
      </c>
      <c r="J86" s="24" t="s">
        <v>23</v>
      </c>
      <c r="K86" s="24" t="s">
        <v>24</v>
      </c>
      <c r="L86" s="24" t="s">
        <v>364</v>
      </c>
      <c r="M86" s="24" t="s">
        <v>25</v>
      </c>
      <c r="N86" s="72" t="s">
        <v>10</v>
      </c>
      <c r="AJ86" s="73" t="s">
        <v>36</v>
      </c>
    </row>
    <row r="87" spans="2:36" s="63" customFormat="1" x14ac:dyDescent="0.25">
      <c r="C87" s="22"/>
      <c r="D87" s="22"/>
      <c r="E87" s="248"/>
      <c r="F87" s="22"/>
      <c r="G87" s="22"/>
      <c r="H87" s="22">
        <f>DEPRECIATION[[#This Row],[Initial Cost If Purchased or Value of Granted Asset]]-DEPRECIATION[[#This Row],[Salvage Value]]</f>
        <v>0</v>
      </c>
      <c r="I87" s="248"/>
      <c r="J87" s="22"/>
      <c r="K87" s="22">
        <f>IFERROR(DEPRECIATION[[#This Row],[Depreciable Cost]]/DEPRECIATION[[#This Row],[Useful Life]], 0)</f>
        <v>0</v>
      </c>
      <c r="L87" s="22" t="s">
        <v>28</v>
      </c>
      <c r="M87" s="22">
        <f>IF(DEPRECIATION[[#This Row],[Exceeded useful life]]="YES",0,IFERROR(DEPRECIATION[[#This Row],[Number of Assets]]*DEPRECIATION[[#This Row],[Annual Depreciation]],0))</f>
        <v>0</v>
      </c>
      <c r="N87" s="22"/>
      <c r="AJ87" s="58"/>
    </row>
    <row r="88" spans="2:36" s="63" customFormat="1" x14ac:dyDescent="0.25">
      <c r="C88" s="22"/>
      <c r="D88" s="22"/>
      <c r="E88" s="248"/>
      <c r="F88" s="22"/>
      <c r="G88" s="22"/>
      <c r="H88" s="22">
        <f>DEPRECIATION[[#This Row],[Initial Cost If Purchased or Value of Granted Asset]]-DEPRECIATION[[#This Row],[Salvage Value]]</f>
        <v>0</v>
      </c>
      <c r="I88" s="248"/>
      <c r="J88" s="22"/>
      <c r="K88" s="22">
        <f>IFERROR(DEPRECIATION[[#This Row],[Depreciable Cost]]/DEPRECIATION[[#This Row],[Useful Life]], 0)</f>
        <v>0</v>
      </c>
      <c r="L88" s="22" t="s">
        <v>28</v>
      </c>
      <c r="M88" s="22">
        <f>IF(DEPRECIATION[[#This Row],[Exceeded useful life]]="YES",0,IFERROR(DEPRECIATION[[#This Row],[Number of Assets]]*DEPRECIATION[[#This Row],[Annual Depreciation]],0))</f>
        <v>0</v>
      </c>
      <c r="N88" s="22"/>
      <c r="AJ88" s="58"/>
    </row>
    <row r="89" spans="2:36" s="63" customFormat="1" x14ac:dyDescent="0.25">
      <c r="B89" s="40"/>
      <c r="C89" s="22"/>
      <c r="D89" s="22"/>
      <c r="E89" s="248"/>
      <c r="F89" s="22"/>
      <c r="G89" s="22"/>
      <c r="H89" s="22">
        <f>DEPRECIATION[[#This Row],[Initial Cost If Purchased or Value of Granted Asset]]-DEPRECIATION[[#This Row],[Salvage Value]]</f>
        <v>0</v>
      </c>
      <c r="I89" s="248"/>
      <c r="J89" s="22"/>
      <c r="K89" s="22">
        <f>IFERROR(DEPRECIATION[[#This Row],[Depreciable Cost]]/DEPRECIATION[[#This Row],[Useful Life]], 0)</f>
        <v>0</v>
      </c>
      <c r="L89" s="22" t="s">
        <v>28</v>
      </c>
      <c r="M89" s="22">
        <f>IF(DEPRECIATION[[#This Row],[Exceeded useful life]]="YES",0,IFERROR(DEPRECIATION[[#This Row],[Number of Assets]]*DEPRECIATION[[#This Row],[Annual Depreciation]],0))</f>
        <v>0</v>
      </c>
      <c r="N89" s="22"/>
      <c r="AJ89" s="58"/>
    </row>
    <row r="90" spans="2:36" s="63" customFormat="1" x14ac:dyDescent="0.25">
      <c r="B90" s="40"/>
      <c r="C90" s="22"/>
      <c r="D90" s="22"/>
      <c r="E90" s="248"/>
      <c r="F90" s="22"/>
      <c r="G90" s="22"/>
      <c r="H90" s="22">
        <f>DEPRECIATION[[#This Row],[Initial Cost If Purchased or Value of Granted Asset]]-DEPRECIATION[[#This Row],[Salvage Value]]</f>
        <v>0</v>
      </c>
      <c r="I90" s="248"/>
      <c r="J90" s="22"/>
      <c r="K90" s="22">
        <f>IFERROR(DEPRECIATION[[#This Row],[Depreciable Cost]]/DEPRECIATION[[#This Row],[Useful Life]], 0)</f>
        <v>0</v>
      </c>
      <c r="L90" s="22" t="s">
        <v>28</v>
      </c>
      <c r="M90" s="22">
        <f>IF(DEPRECIATION[[#This Row],[Exceeded useful life]]="YES",0,IFERROR(DEPRECIATION[[#This Row],[Number of Assets]]*DEPRECIATION[[#This Row],[Annual Depreciation]],0))</f>
        <v>0</v>
      </c>
      <c r="N90" s="22"/>
      <c r="AJ90" s="58"/>
    </row>
    <row r="91" spans="2:36" s="63" customFormat="1" x14ac:dyDescent="0.25">
      <c r="B91" s="40"/>
      <c r="C91" s="22"/>
      <c r="D91" s="22"/>
      <c r="E91" s="248"/>
      <c r="F91" s="22"/>
      <c r="G91" s="22"/>
      <c r="H91" s="22">
        <f>DEPRECIATION[[#This Row],[Initial Cost If Purchased or Value of Granted Asset]]-DEPRECIATION[[#This Row],[Salvage Value]]</f>
        <v>0</v>
      </c>
      <c r="I91" s="248"/>
      <c r="J91" s="22"/>
      <c r="K91" s="22">
        <f>IFERROR(DEPRECIATION[[#This Row],[Depreciable Cost]]/DEPRECIATION[[#This Row],[Useful Life]], 0)</f>
        <v>0</v>
      </c>
      <c r="L91" s="22" t="s">
        <v>28</v>
      </c>
      <c r="M91" s="22">
        <f>IF(DEPRECIATION[[#This Row],[Exceeded useful life]]="YES",0,IFERROR(DEPRECIATION[[#This Row],[Number of Assets]]*DEPRECIATION[[#This Row],[Annual Depreciation]],0))</f>
        <v>0</v>
      </c>
      <c r="N91" s="22"/>
      <c r="AJ91" s="58"/>
    </row>
    <row r="92" spans="2:36" s="63" customFormat="1" x14ac:dyDescent="0.25">
      <c r="B92" s="40"/>
      <c r="C92" s="22"/>
      <c r="D92" s="22"/>
      <c r="E92" s="248"/>
      <c r="F92" s="22"/>
      <c r="G92" s="22"/>
      <c r="H92" s="22">
        <f>DEPRECIATION[[#This Row],[Initial Cost If Purchased or Value of Granted Asset]]-DEPRECIATION[[#This Row],[Salvage Value]]</f>
        <v>0</v>
      </c>
      <c r="I92" s="248"/>
      <c r="J92" s="22"/>
      <c r="K92" s="22">
        <f>IFERROR(DEPRECIATION[[#This Row],[Depreciable Cost]]/DEPRECIATION[[#This Row],[Useful Life]], 0)</f>
        <v>0</v>
      </c>
      <c r="L92" s="22" t="s">
        <v>28</v>
      </c>
      <c r="M92" s="22">
        <f>IF(DEPRECIATION[[#This Row],[Exceeded useful life]]="YES",0,IFERROR(DEPRECIATION[[#This Row],[Number of Assets]]*DEPRECIATION[[#This Row],[Annual Depreciation]],0))</f>
        <v>0</v>
      </c>
      <c r="N92" s="22"/>
      <c r="AJ92" s="58"/>
    </row>
    <row r="93" spans="2:36" s="63" customFormat="1" x14ac:dyDescent="0.25">
      <c r="B93" s="40"/>
      <c r="C93" s="22"/>
      <c r="D93" s="22"/>
      <c r="E93" s="248"/>
      <c r="F93" s="22"/>
      <c r="G93" s="22"/>
      <c r="H93" s="22">
        <f>DEPRECIATION[[#This Row],[Initial Cost If Purchased or Value of Granted Asset]]-DEPRECIATION[[#This Row],[Salvage Value]]</f>
        <v>0</v>
      </c>
      <c r="I93" s="248"/>
      <c r="J93" s="22"/>
      <c r="K93" s="22">
        <f>IFERROR(DEPRECIATION[[#This Row],[Depreciable Cost]]/DEPRECIATION[[#This Row],[Useful Life]], 0)</f>
        <v>0</v>
      </c>
      <c r="L93" s="22" t="s">
        <v>28</v>
      </c>
      <c r="M93" s="22">
        <f>IF(DEPRECIATION[[#This Row],[Exceeded useful life]]="YES",0,IFERROR(DEPRECIATION[[#This Row],[Number of Assets]]*DEPRECIATION[[#This Row],[Annual Depreciation]],0))</f>
        <v>0</v>
      </c>
      <c r="N93" s="22"/>
      <c r="AJ93" s="58"/>
    </row>
    <row r="94" spans="2:36" s="63" customFormat="1" ht="15.75" thickBot="1" x14ac:dyDescent="0.3">
      <c r="B94" s="40"/>
      <c r="C94" s="17" t="s">
        <v>40</v>
      </c>
      <c r="D94" s="17"/>
      <c r="E94" s="17"/>
      <c r="F94" s="17"/>
      <c r="G94" s="17"/>
      <c r="H94" s="17">
        <f>SUBTOTAL(109,DEPRECIATION[Depreciable Cost])</f>
        <v>0</v>
      </c>
      <c r="I94" s="17"/>
      <c r="J94" s="17"/>
      <c r="K94" s="17"/>
      <c r="L94" s="17"/>
      <c r="M94" s="17">
        <f>SUBTOTAL(109,DEPRECIATION[Total Depreciation])</f>
        <v>0</v>
      </c>
      <c r="N94" s="17"/>
      <c r="AJ94" s="58"/>
    </row>
    <row r="95" spans="2:36" s="63" customFormat="1" ht="15.75" thickTop="1" x14ac:dyDescent="0.25">
      <c r="AI95" s="58"/>
    </row>
    <row r="96" spans="2:36" s="63" customFormat="1" x14ac:dyDescent="0.25">
      <c r="AI96" s="58"/>
    </row>
    <row r="97" spans="4:35" s="63" customFormat="1" x14ac:dyDescent="0.25">
      <c r="J97" s="40"/>
      <c r="AI97" s="58"/>
    </row>
    <row r="101" spans="4:35" ht="18.75" x14ac:dyDescent="0.25">
      <c r="D101" s="74" t="s">
        <v>144</v>
      </c>
      <c r="E101" s="75">
        <f>A1</f>
        <v>0</v>
      </c>
    </row>
    <row r="102" spans="4:35" ht="20.25" customHeight="1" x14ac:dyDescent="0.25">
      <c r="D102" s="76" t="s">
        <v>49</v>
      </c>
      <c r="E102" s="42">
        <f>tblSummaryCash[[#Totals],[(HIDDEN)2]]</f>
        <v>0</v>
      </c>
    </row>
    <row r="103" spans="4:35" ht="15.75" hidden="1" customHeight="1" x14ac:dyDescent="0.25">
      <c r="D103" s="77" t="s">
        <v>142</v>
      </c>
      <c r="E103" s="77" t="s">
        <v>143</v>
      </c>
      <c r="AG103" s="58"/>
      <c r="AI103" s="40"/>
    </row>
    <row r="104" spans="4:35" ht="18.75" x14ac:dyDescent="0.25">
      <c r="D104" s="78" t="s">
        <v>47</v>
      </c>
      <c r="E104" s="79">
        <f>PERSONNEL_REGULAR[[#Totals],[Total Yearly Personnel Expense]]+PERSONNEL_CONTRACTUAL[[#Totals],[Total Yearly Personnel Expense]]</f>
        <v>0</v>
      </c>
      <c r="G104" s="87"/>
      <c r="AG104" s="58"/>
      <c r="AI104" s="40"/>
    </row>
    <row r="105" spans="4:35" s="81" customFormat="1" ht="18.75" x14ac:dyDescent="0.25">
      <c r="D105" s="78" t="s">
        <v>82</v>
      </c>
      <c r="E105" s="80">
        <f>SUM(
SUBTOTAL(109,OPEX_COSTS[Total Annual Cost]),
SUBTOTAL(109,OTHER_COST[Total Annual Cost])
)</f>
        <v>0</v>
      </c>
      <c r="AG105" s="58"/>
    </row>
    <row r="106" spans="4:35" s="81" customFormat="1" ht="18.75" hidden="1" x14ac:dyDescent="0.25">
      <c r="D106" s="82" t="s">
        <v>141</v>
      </c>
      <c r="E106" s="83">
        <f>PERSONNEL_REGULAR[[#Totals],[Total Yearly Personnel Expense]]+PERSONNEL_CONTRACTUAL[[#Totals],[Total Yearly Personnel Expense]]+SUBTOTAL(109,OPEX_COSTS[Total Annual Cost])+
SUBTOTAL(109,OTHER_COST[Total Annual Cost])</f>
        <v>0</v>
      </c>
      <c r="AG106" s="58" t="s">
        <v>120</v>
      </c>
    </row>
    <row r="107" spans="4:35" hidden="1" x14ac:dyDescent="0.25">
      <c r="D107" s="84" t="s">
        <v>142</v>
      </c>
      <c r="E107" s="84" t="s">
        <v>143</v>
      </c>
    </row>
    <row r="108" spans="4:35" ht="18.75" x14ac:dyDescent="0.25">
      <c r="D108" s="76" t="s">
        <v>48</v>
      </c>
      <c r="E108" s="42">
        <f>DEPRECIATION[[#Totals],[Total Depreciation]]</f>
        <v>0</v>
      </c>
      <c r="AI108" s="58" t="s">
        <v>156</v>
      </c>
    </row>
    <row r="109" spans="4:35" ht="18.75" hidden="1" x14ac:dyDescent="0.25">
      <c r="D109" s="85" t="s">
        <v>141</v>
      </c>
      <c r="E109" s="39">
        <f>SUBTOTAL(109,tblSummaryNonCash[(HIDDEN)2])</f>
        <v>0</v>
      </c>
    </row>
    <row r="110" spans="4:35" x14ac:dyDescent="0.25">
      <c r="D110" s="41"/>
      <c r="E110" s="41">
        <f>tblSummaryCash[[#Totals],[(HIDDEN)2]]+tblSummaryNonCash[[#Totals],[(HIDDEN)2]]</f>
        <v>0</v>
      </c>
    </row>
    <row r="112" spans="4:35" ht="11.25" customHeight="1" x14ac:dyDescent="0.25"/>
  </sheetData>
  <mergeCells count="4">
    <mergeCell ref="D7:P7"/>
    <mergeCell ref="D23:P23"/>
    <mergeCell ref="A3:C3"/>
    <mergeCell ref="A2:C2"/>
  </mergeCells>
  <phoneticPr fontId="10" type="noConversion"/>
  <dataValidations disablePrompts="1" count="1">
    <dataValidation type="list" allowBlank="1" showInputMessage="1" showErrorMessage="1" sqref="F2" xr:uid="{AB65F3EE-B5C0-4BFC-A96D-61160776646B}">
      <formula1>routers</formula1>
    </dataValidation>
  </dataValidations>
  <pageMargins left="0.7" right="0.7" top="0.75" bottom="0.75" header="0.3" footer="0.3"/>
  <ignoredErrors>
    <ignoredError sqref="E104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3" name="Button 14">
              <controlPr defaultSize="0" print="0" autoFill="0" autoPict="0" macro="[0]!InsertRowAboveTableEnd">
                <anchor moveWithCells="1" sizeWithCells="1">
                  <from>
                    <xdr:col>6</xdr:col>
                    <xdr:colOff>447675</xdr:colOff>
                    <xdr:row>0</xdr:row>
                    <xdr:rowOff>180975</xdr:rowOff>
                  </from>
                  <to>
                    <xdr:col>7</xdr:col>
                    <xdr:colOff>962025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4" name="Button 21">
              <controlPr defaultSize="0" print="0" autoFill="0" autoPict="0" macro="[0]!Save_tblSummary_ToDB">
                <anchor moveWithCells="1" sizeWithCells="1">
                  <from>
                    <xdr:col>7</xdr:col>
                    <xdr:colOff>1295400</xdr:colOff>
                    <xdr:row>0</xdr:row>
                    <xdr:rowOff>171450</xdr:rowOff>
                  </from>
                  <to>
                    <xdr:col>8</xdr:col>
                    <xdr:colOff>1524000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9CEA8B6-6F16-4894-8C96-3AF0DAF0F2CE}">
          <x14:formula1>
            <xm:f>Master_Input!$B$92:$B$93</xm:f>
          </x14:formula1>
          <xm:sqref>L87:L93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2964-87EB-4395-B96D-AA212A0AF058}">
  <sheetPr codeName="Sheet1"/>
  <dimension ref="B1:G93"/>
  <sheetViews>
    <sheetView showGridLines="0" topLeftCell="A31" zoomScale="85" zoomScaleNormal="85" workbookViewId="0">
      <selection activeCell="F37" sqref="F37"/>
    </sheetView>
  </sheetViews>
  <sheetFormatPr defaultColWidth="14.5703125" defaultRowHeight="27.75" customHeight="1" x14ac:dyDescent="0.25"/>
  <cols>
    <col min="1" max="1" width="5.85546875" style="1" customWidth="1"/>
    <col min="2" max="2" width="52.42578125" style="1" customWidth="1"/>
    <col min="3" max="5" width="23.85546875" style="1" customWidth="1"/>
    <col min="6" max="6" width="16.140625" style="1" customWidth="1"/>
    <col min="7" max="7" width="34.140625" style="1" customWidth="1"/>
    <col min="8" max="16384" width="14.5703125" style="1"/>
  </cols>
  <sheetData>
    <row r="1" spans="2:6" s="188" customFormat="1" ht="53.25" customHeight="1" x14ac:dyDescent="0.45">
      <c r="B1" s="268" t="s">
        <v>26</v>
      </c>
      <c r="C1" s="269"/>
      <c r="D1" s="269"/>
      <c r="E1" s="269"/>
      <c r="F1" s="269"/>
    </row>
    <row r="2" spans="2:6" ht="34.5" customHeight="1" x14ac:dyDescent="0.25"/>
    <row r="3" spans="2:6" ht="20.25" customHeight="1" x14ac:dyDescent="0.25"/>
    <row r="4" spans="2:6" s="189" customFormat="1" ht="18" customHeight="1" x14ac:dyDescent="0.25">
      <c r="B4" s="279" t="s">
        <v>303</v>
      </c>
      <c r="C4" s="279"/>
    </row>
    <row r="5" spans="2:6" s="189" customFormat="1" ht="16.5" customHeight="1" x14ac:dyDescent="0.25">
      <c r="B5" s="278" t="s">
        <v>306</v>
      </c>
      <c r="C5" s="278"/>
      <c r="D5" s="278"/>
    </row>
    <row r="6" spans="2:6" ht="24.75" customHeight="1" x14ac:dyDescent="0.25">
      <c r="B6" s="2" t="s">
        <v>0</v>
      </c>
      <c r="C6" s="270" t="s">
        <v>384</v>
      </c>
      <c r="D6" s="271"/>
      <c r="E6" s="12"/>
      <c r="F6" s="13"/>
    </row>
    <row r="7" spans="2:6" ht="24.75" customHeight="1" x14ac:dyDescent="0.35">
      <c r="B7" s="2" t="s">
        <v>27</v>
      </c>
      <c r="C7" s="272" t="s">
        <v>241</v>
      </c>
      <c r="D7" s="273"/>
      <c r="F7" s="14"/>
    </row>
    <row r="8" spans="2:6" ht="24.75" customHeight="1" x14ac:dyDescent="0.25">
      <c r="B8" s="2" t="s">
        <v>95</v>
      </c>
      <c r="C8" s="275" t="s">
        <v>317</v>
      </c>
      <c r="D8" s="276"/>
      <c r="E8" s="276"/>
      <c r="F8" s="277"/>
    </row>
    <row r="9" spans="2:6" ht="24.75" customHeight="1" x14ac:dyDescent="0.25"/>
    <row r="10" spans="2:6" s="189" customFormat="1" ht="20.25" customHeight="1" x14ac:dyDescent="0.25">
      <c r="B10" s="279" t="s">
        <v>304</v>
      </c>
      <c r="C10" s="279"/>
    </row>
    <row r="11" spans="2:6" s="189" customFormat="1" ht="13.5" customHeight="1" x14ac:dyDescent="0.25">
      <c r="B11" s="278" t="s">
        <v>307</v>
      </c>
      <c r="C11" s="278"/>
      <c r="D11" s="278"/>
      <c r="E11" s="278"/>
    </row>
    <row r="12" spans="2:6" ht="15.75" customHeight="1" x14ac:dyDescent="0.25">
      <c r="B12" s="11" t="s">
        <v>86</v>
      </c>
      <c r="C12" s="274"/>
      <c r="D12" s="274"/>
    </row>
    <row r="13" spans="2:6" ht="17.25" customHeight="1" x14ac:dyDescent="0.25">
      <c r="B13" s="203" t="s">
        <v>83</v>
      </c>
    </row>
    <row r="14" spans="2:6" ht="15" customHeight="1" x14ac:dyDescent="0.25">
      <c r="B14" s="204" t="s">
        <v>87</v>
      </c>
    </row>
    <row r="15" spans="2:6" ht="16.5" customHeight="1" x14ac:dyDescent="0.25">
      <c r="B15" s="204" t="s">
        <v>88</v>
      </c>
    </row>
    <row r="16" spans="2:6" ht="16.5" customHeight="1" x14ac:dyDescent="0.25">
      <c r="B16" s="204" t="s">
        <v>89</v>
      </c>
    </row>
    <row r="17" spans="2:7" ht="15.75" customHeight="1" x14ac:dyDescent="0.25">
      <c r="B17" s="204" t="s">
        <v>90</v>
      </c>
    </row>
    <row r="18" spans="2:7" ht="21" customHeight="1" x14ac:dyDescent="0.25">
      <c r="B18" s="204" t="s">
        <v>91</v>
      </c>
    </row>
    <row r="19" spans="2:7" ht="18.75" customHeight="1" x14ac:dyDescent="0.25">
      <c r="B19" s="204" t="s">
        <v>92</v>
      </c>
    </row>
    <row r="20" spans="2:7" ht="27.75" customHeight="1" x14ac:dyDescent="0.25">
      <c r="B20" s="204" t="s">
        <v>93</v>
      </c>
    </row>
    <row r="21" spans="2:7" ht="27.75" customHeight="1" x14ac:dyDescent="0.25">
      <c r="B21" s="251" t="s">
        <v>328</v>
      </c>
    </row>
    <row r="22" spans="2:7" ht="27.75" customHeight="1" x14ac:dyDescent="0.25">
      <c r="B22" s="251" t="s">
        <v>433</v>
      </c>
    </row>
    <row r="23" spans="2:7" ht="27.75" customHeight="1" x14ac:dyDescent="0.25">
      <c r="B23" s="251" t="s">
        <v>247</v>
      </c>
    </row>
    <row r="26" spans="2:7" s="189" customFormat="1" ht="16.5" customHeight="1" x14ac:dyDescent="0.25">
      <c r="B26" s="279" t="s">
        <v>308</v>
      </c>
      <c r="C26" s="279"/>
    </row>
    <row r="27" spans="2:7" s="189" customFormat="1" ht="17.25" customHeight="1" x14ac:dyDescent="0.25">
      <c r="B27" s="278" t="s">
        <v>309</v>
      </c>
      <c r="C27" s="278"/>
      <c r="D27" s="278"/>
      <c r="E27" s="278"/>
    </row>
    <row r="28" spans="2:7" ht="27.75" customHeight="1" x14ac:dyDescent="0.25">
      <c r="B28" s="1" t="s">
        <v>235</v>
      </c>
      <c r="C28" s="1" t="s">
        <v>43</v>
      </c>
      <c r="D28" s="1" t="s">
        <v>38</v>
      </c>
    </row>
    <row r="29" spans="2:7" ht="27.75" customHeight="1" x14ac:dyDescent="0.25">
      <c r="B29" s="217" t="s">
        <v>332</v>
      </c>
      <c r="C29" s="217" t="s">
        <v>333</v>
      </c>
      <c r="D29" s="218">
        <v>1.5</v>
      </c>
    </row>
    <row r="30" spans="2:7" ht="27.75" customHeight="1" x14ac:dyDescent="0.25">
      <c r="B30" s="232" t="s">
        <v>334</v>
      </c>
      <c r="C30" s="233"/>
      <c r="D30" s="234"/>
    </row>
    <row r="31" spans="2:7" ht="27.75" customHeight="1" x14ac:dyDescent="0.25">
      <c r="B31" s="219" t="s">
        <v>236</v>
      </c>
      <c r="C31" s="217" t="s">
        <v>305</v>
      </c>
      <c r="D31" s="218">
        <v>3326</v>
      </c>
    </row>
    <row r="32" spans="2:7" ht="27.75" customHeight="1" x14ac:dyDescent="0.25">
      <c r="B32" s="219" t="s">
        <v>237</v>
      </c>
      <c r="C32" s="217" t="s">
        <v>305</v>
      </c>
      <c r="D32" s="218">
        <v>16630</v>
      </c>
      <c r="F32" s="280" t="s">
        <v>356</v>
      </c>
      <c r="G32" s="280"/>
    </row>
    <row r="33" spans="2:7" ht="27.75" customHeight="1" x14ac:dyDescent="0.25">
      <c r="B33" s="219" t="s">
        <v>335</v>
      </c>
      <c r="C33" s="217" t="s">
        <v>246</v>
      </c>
      <c r="D33" s="229">
        <f>($D$29*D32*365)/1000</f>
        <v>9104.9249999999993</v>
      </c>
      <c r="F33" s="230"/>
      <c r="G33" s="231" t="s">
        <v>357</v>
      </c>
    </row>
    <row r="34" spans="2:7" ht="27.75" customHeight="1" x14ac:dyDescent="0.25">
      <c r="B34" s="219" t="s">
        <v>336</v>
      </c>
      <c r="C34" s="217" t="s">
        <v>331</v>
      </c>
      <c r="D34" s="218">
        <v>1200</v>
      </c>
      <c r="F34" s="231"/>
      <c r="G34" s="231" t="s">
        <v>358</v>
      </c>
    </row>
    <row r="35" spans="2:7" ht="27.75" customHeight="1" x14ac:dyDescent="0.25">
      <c r="B35" s="219" t="s">
        <v>337</v>
      </c>
      <c r="C35" s="217" t="s">
        <v>338</v>
      </c>
      <c r="D35" s="229">
        <f>D32/D34</f>
        <v>13.858333333333333</v>
      </c>
    </row>
    <row r="36" spans="2:7" ht="27.75" customHeight="1" x14ac:dyDescent="0.25">
      <c r="B36" s="235" t="s">
        <v>339</v>
      </c>
      <c r="C36" s="233"/>
      <c r="D36" s="234"/>
    </row>
    <row r="37" spans="2:7" ht="27.75" customHeight="1" x14ac:dyDescent="0.25">
      <c r="B37" s="220" t="s">
        <v>340</v>
      </c>
      <c r="C37" s="217" t="s">
        <v>246</v>
      </c>
      <c r="D37" s="218">
        <v>4397</v>
      </c>
      <c r="F37" s="291">
        <f>D32+D58</f>
        <v>17630</v>
      </c>
      <c r="G37" s="247" t="s">
        <v>360</v>
      </c>
    </row>
    <row r="38" spans="2:7" ht="27.75" customHeight="1" x14ac:dyDescent="0.25">
      <c r="B38" s="220" t="s">
        <v>341</v>
      </c>
      <c r="C38" s="217" t="s">
        <v>246</v>
      </c>
      <c r="D38" s="218">
        <v>0</v>
      </c>
      <c r="F38" s="292">
        <f>D33+D59</f>
        <v>9652.4249999999993</v>
      </c>
      <c r="G38" s="1" t="s">
        <v>368</v>
      </c>
    </row>
    <row r="39" spans="2:7" ht="27.75" customHeight="1" x14ac:dyDescent="0.25">
      <c r="B39" s="220" t="s">
        <v>342</v>
      </c>
      <c r="C39" s="217" t="s">
        <v>246</v>
      </c>
      <c r="D39" s="218">
        <v>0</v>
      </c>
      <c r="F39" s="18">
        <f>D34+D60</f>
        <v>2400</v>
      </c>
      <c r="G39" s="1" t="s">
        <v>458</v>
      </c>
    </row>
    <row r="40" spans="2:7" ht="27.75" customHeight="1" x14ac:dyDescent="0.25">
      <c r="B40" s="302" t="s">
        <v>453</v>
      </c>
      <c r="C40" s="233"/>
      <c r="D40" s="234"/>
    </row>
    <row r="41" spans="2:7" ht="27.75" customHeight="1" x14ac:dyDescent="0.25">
      <c r="B41" s="220" t="s">
        <v>340</v>
      </c>
      <c r="C41" s="217" t="s">
        <v>246</v>
      </c>
      <c r="D41" s="218">
        <v>4397</v>
      </c>
    </row>
    <row r="42" spans="2:7" ht="27.75" customHeight="1" x14ac:dyDescent="0.25">
      <c r="B42" s="220" t="s">
        <v>341</v>
      </c>
      <c r="C42" s="217" t="s">
        <v>246</v>
      </c>
      <c r="D42" s="218">
        <v>0</v>
      </c>
    </row>
    <row r="43" spans="2:7" ht="27.75" customHeight="1" x14ac:dyDescent="0.25">
      <c r="B43" s="220" t="s">
        <v>342</v>
      </c>
      <c r="C43" s="217" t="s">
        <v>246</v>
      </c>
      <c r="D43" s="218">
        <v>0</v>
      </c>
    </row>
    <row r="44" spans="2:7" ht="27.75" customHeight="1" x14ac:dyDescent="0.25">
      <c r="B44" s="235" t="s">
        <v>343</v>
      </c>
      <c r="C44" s="233"/>
      <c r="D44" s="234">
        <v>0</v>
      </c>
    </row>
    <row r="45" spans="2:7" ht="27.75" customHeight="1" x14ac:dyDescent="0.25">
      <c r="B45" s="220" t="s">
        <v>344</v>
      </c>
      <c r="C45" s="217" t="s">
        <v>305</v>
      </c>
      <c r="D45" s="218">
        <v>0</v>
      </c>
    </row>
    <row r="46" spans="2:7" ht="27.75" customHeight="1" x14ac:dyDescent="0.25">
      <c r="B46" s="220" t="s">
        <v>345</v>
      </c>
      <c r="C46" s="217" t="s">
        <v>305</v>
      </c>
      <c r="D46" s="218">
        <v>0</v>
      </c>
      <c r="F46" s="288" t="s">
        <v>369</v>
      </c>
    </row>
    <row r="47" spans="2:7" ht="27.75" customHeight="1" x14ac:dyDescent="0.25">
      <c r="B47" s="220" t="s">
        <v>346</v>
      </c>
      <c r="C47" s="217" t="s">
        <v>305</v>
      </c>
      <c r="D47" s="218">
        <v>0</v>
      </c>
    </row>
    <row r="48" spans="2:7" ht="27.75" customHeight="1" x14ac:dyDescent="0.25">
      <c r="B48" s="220" t="s">
        <v>347</v>
      </c>
      <c r="C48" s="217" t="s">
        <v>305</v>
      </c>
      <c r="D48" s="218">
        <v>0</v>
      </c>
    </row>
    <row r="49" spans="2:4" ht="27.75" customHeight="1" x14ac:dyDescent="0.25">
      <c r="B49" s="220" t="s">
        <v>348</v>
      </c>
      <c r="C49" s="217" t="s">
        <v>305</v>
      </c>
      <c r="D49" s="218">
        <v>0</v>
      </c>
    </row>
    <row r="50" spans="2:4" ht="27.75" customHeight="1" x14ac:dyDescent="0.25">
      <c r="B50" s="220" t="s">
        <v>342</v>
      </c>
      <c r="C50" s="217" t="s">
        <v>305</v>
      </c>
      <c r="D50" s="218">
        <v>0</v>
      </c>
    </row>
    <row r="51" spans="2:4" ht="27.75" customHeight="1" x14ac:dyDescent="0.25">
      <c r="B51" s="219" t="s">
        <v>349</v>
      </c>
      <c r="C51" s="217" t="s">
        <v>246</v>
      </c>
      <c r="D51" s="218">
        <v>0</v>
      </c>
    </row>
    <row r="52" spans="2:4" ht="27.75" customHeight="1" x14ac:dyDescent="0.25">
      <c r="B52" s="219" t="s">
        <v>350</v>
      </c>
      <c r="C52" s="217" t="s">
        <v>246</v>
      </c>
      <c r="D52" s="218">
        <v>0</v>
      </c>
    </row>
    <row r="53" spans="2:4" ht="27.75" customHeight="1" x14ac:dyDescent="0.25">
      <c r="B53" s="219" t="s">
        <v>240</v>
      </c>
      <c r="C53" s="217" t="s">
        <v>305</v>
      </c>
      <c r="D53" s="218">
        <v>2007</v>
      </c>
    </row>
    <row r="54" spans="2:4" ht="27.75" customHeight="1" x14ac:dyDescent="0.25">
      <c r="B54" s="219" t="s">
        <v>351</v>
      </c>
      <c r="C54" s="217" t="s">
        <v>305</v>
      </c>
      <c r="D54" s="218">
        <v>0</v>
      </c>
    </row>
    <row r="55" spans="2:4" ht="27.75" customHeight="1" x14ac:dyDescent="0.25">
      <c r="B55" s="221" t="s">
        <v>352</v>
      </c>
      <c r="C55" s="222" t="s">
        <v>353</v>
      </c>
      <c r="D55" s="223">
        <v>0</v>
      </c>
    </row>
    <row r="56" spans="2:4" ht="27.75" customHeight="1" x14ac:dyDescent="0.25">
      <c r="B56" s="232" t="s">
        <v>354</v>
      </c>
      <c r="C56" s="236"/>
      <c r="D56" s="237"/>
    </row>
    <row r="57" spans="2:4" ht="27.75" customHeight="1" x14ac:dyDescent="0.25">
      <c r="B57" s="224" t="s">
        <v>236</v>
      </c>
      <c r="C57" s="225" t="s">
        <v>353</v>
      </c>
      <c r="D57" s="226">
        <v>0</v>
      </c>
    </row>
    <row r="58" spans="2:4" ht="27.75" customHeight="1" x14ac:dyDescent="0.25">
      <c r="B58" s="219" t="s">
        <v>237</v>
      </c>
      <c r="C58" s="227" t="s">
        <v>305</v>
      </c>
      <c r="D58" s="228">
        <v>1000</v>
      </c>
    </row>
    <row r="59" spans="2:4" ht="27.75" customHeight="1" x14ac:dyDescent="0.25">
      <c r="B59" s="219" t="s">
        <v>335</v>
      </c>
      <c r="C59" s="217" t="s">
        <v>246</v>
      </c>
      <c r="D59" s="229">
        <f>(D58*$D$29*365)/1000</f>
        <v>547.5</v>
      </c>
    </row>
    <row r="60" spans="2:4" ht="27.75" customHeight="1" x14ac:dyDescent="0.25">
      <c r="B60" s="219" t="s">
        <v>355</v>
      </c>
      <c r="C60" s="217" t="s">
        <v>331</v>
      </c>
      <c r="D60" s="218">
        <v>1200</v>
      </c>
    </row>
    <row r="61" spans="2:4" ht="27.75" customHeight="1" x14ac:dyDescent="0.25">
      <c r="B61" s="219" t="s">
        <v>337</v>
      </c>
      <c r="C61" s="217" t="s">
        <v>338</v>
      </c>
      <c r="D61" s="229">
        <f>D58/D60</f>
        <v>0.83333333333333337</v>
      </c>
    </row>
    <row r="62" spans="2:4" ht="27.75" customHeight="1" x14ac:dyDescent="0.25">
      <c r="B62" s="235" t="s">
        <v>339</v>
      </c>
      <c r="C62" s="233"/>
      <c r="D62" s="234"/>
    </row>
    <row r="63" spans="2:4" ht="27.75" customHeight="1" x14ac:dyDescent="0.25">
      <c r="B63" s="220" t="s">
        <v>340</v>
      </c>
      <c r="C63" s="217" t="s">
        <v>246</v>
      </c>
      <c r="D63" s="218">
        <v>3572</v>
      </c>
    </row>
    <row r="64" spans="2:4" ht="27.75" customHeight="1" x14ac:dyDescent="0.25">
      <c r="B64" s="220" t="s">
        <v>341</v>
      </c>
      <c r="C64" s="217" t="s">
        <v>246</v>
      </c>
      <c r="D64" s="218">
        <v>0</v>
      </c>
    </row>
    <row r="65" spans="2:4" ht="27.75" customHeight="1" x14ac:dyDescent="0.25">
      <c r="B65" s="220" t="s">
        <v>342</v>
      </c>
      <c r="C65" s="217" t="s">
        <v>246</v>
      </c>
      <c r="D65" s="218">
        <v>966</v>
      </c>
    </row>
    <row r="66" spans="2:4" ht="27.75" customHeight="1" x14ac:dyDescent="0.25">
      <c r="B66" s="302" t="s">
        <v>453</v>
      </c>
      <c r="C66" s="233"/>
      <c r="D66" s="234"/>
    </row>
    <row r="67" spans="2:4" ht="27.75" customHeight="1" x14ac:dyDescent="0.25">
      <c r="B67" s="220" t="s">
        <v>340</v>
      </c>
      <c r="C67" s="217" t="s">
        <v>246</v>
      </c>
      <c r="D67" s="218">
        <v>3572</v>
      </c>
    </row>
    <row r="68" spans="2:4" ht="27.75" customHeight="1" x14ac:dyDescent="0.25">
      <c r="B68" s="220" t="s">
        <v>341</v>
      </c>
      <c r="C68" s="217" t="s">
        <v>246</v>
      </c>
      <c r="D68" s="218">
        <v>0</v>
      </c>
    </row>
    <row r="69" spans="2:4" ht="27.75" customHeight="1" x14ac:dyDescent="0.25">
      <c r="B69" s="220" t="s">
        <v>342</v>
      </c>
      <c r="C69" s="217" t="s">
        <v>246</v>
      </c>
      <c r="D69" s="218">
        <v>966</v>
      </c>
    </row>
    <row r="70" spans="2:4" ht="27.75" customHeight="1" x14ac:dyDescent="0.25">
      <c r="B70" s="235" t="s">
        <v>343</v>
      </c>
      <c r="C70" s="233"/>
      <c r="D70" s="234"/>
    </row>
    <row r="71" spans="2:4" ht="27.75" customHeight="1" x14ac:dyDescent="0.25">
      <c r="B71" s="220" t="s">
        <v>344</v>
      </c>
      <c r="C71" s="217" t="s">
        <v>305</v>
      </c>
      <c r="D71" s="218">
        <v>3491</v>
      </c>
    </row>
    <row r="72" spans="2:4" ht="27.75" customHeight="1" x14ac:dyDescent="0.25">
      <c r="B72" s="220" t="s">
        <v>345</v>
      </c>
      <c r="C72" s="217" t="s">
        <v>305</v>
      </c>
      <c r="D72" s="218">
        <v>2620</v>
      </c>
    </row>
    <row r="73" spans="2:4" ht="27.75" customHeight="1" x14ac:dyDescent="0.25">
      <c r="B73" s="220" t="s">
        <v>346</v>
      </c>
      <c r="C73" s="217" t="s">
        <v>305</v>
      </c>
      <c r="D73" s="218">
        <v>633</v>
      </c>
    </row>
    <row r="74" spans="2:4" ht="27.75" customHeight="1" x14ac:dyDescent="0.25">
      <c r="B74" s="220" t="s">
        <v>347</v>
      </c>
      <c r="C74" s="217" t="s">
        <v>305</v>
      </c>
      <c r="D74" s="218">
        <v>0</v>
      </c>
    </row>
    <row r="75" spans="2:4" ht="27.75" customHeight="1" x14ac:dyDescent="0.25">
      <c r="B75" s="220" t="s">
        <v>348</v>
      </c>
      <c r="C75" s="217" t="s">
        <v>305</v>
      </c>
      <c r="D75" s="218">
        <v>0</v>
      </c>
    </row>
    <row r="76" spans="2:4" ht="27.75" customHeight="1" x14ac:dyDescent="0.25">
      <c r="B76" s="220" t="s">
        <v>342</v>
      </c>
      <c r="C76" s="217" t="s">
        <v>305</v>
      </c>
      <c r="D76" s="218">
        <v>0</v>
      </c>
    </row>
    <row r="77" spans="2:4" ht="27.75" customHeight="1" x14ac:dyDescent="0.25">
      <c r="B77" s="219" t="s">
        <v>349</v>
      </c>
      <c r="C77" s="217" t="s">
        <v>246</v>
      </c>
      <c r="D77" s="218">
        <v>0</v>
      </c>
    </row>
    <row r="78" spans="2:4" ht="27.75" customHeight="1" x14ac:dyDescent="0.25">
      <c r="B78" s="219" t="s">
        <v>350</v>
      </c>
      <c r="C78" s="217" t="s">
        <v>246</v>
      </c>
      <c r="D78" s="218">
        <v>0</v>
      </c>
    </row>
    <row r="79" spans="2:4" ht="27.75" customHeight="1" x14ac:dyDescent="0.25">
      <c r="B79" s="219" t="s">
        <v>240</v>
      </c>
      <c r="C79" s="217" t="s">
        <v>305</v>
      </c>
      <c r="D79" s="218">
        <v>0</v>
      </c>
    </row>
    <row r="80" spans="2:4" ht="27.75" customHeight="1" x14ac:dyDescent="0.25">
      <c r="B80" s="219" t="s">
        <v>351</v>
      </c>
      <c r="C80" s="217" t="s">
        <v>305</v>
      </c>
      <c r="D80" s="218">
        <v>0</v>
      </c>
    </row>
    <row r="81" spans="2:5" ht="27.75" customHeight="1" x14ac:dyDescent="0.25">
      <c r="B81" s="221" t="s">
        <v>352</v>
      </c>
      <c r="C81" s="222" t="s">
        <v>353</v>
      </c>
      <c r="D81" s="218">
        <v>0</v>
      </c>
    </row>
    <row r="82" spans="2:5" ht="27.75" customHeight="1" x14ac:dyDescent="0.25">
      <c r="B82" s="221" t="s">
        <v>352</v>
      </c>
      <c r="C82" s="222" t="s">
        <v>353</v>
      </c>
      <c r="D82" s="223">
        <v>0</v>
      </c>
    </row>
    <row r="88" spans="2:5" s="189" customFormat="1" ht="16.5" customHeight="1" x14ac:dyDescent="0.25">
      <c r="B88" s="279" t="s">
        <v>365</v>
      </c>
      <c r="C88" s="279"/>
    </row>
    <row r="89" spans="2:5" s="189" customFormat="1" ht="17.25" customHeight="1" x14ac:dyDescent="0.25">
      <c r="B89" s="278" t="s">
        <v>366</v>
      </c>
      <c r="C89" s="278"/>
      <c r="D89" s="278"/>
      <c r="E89" s="278"/>
    </row>
    <row r="91" spans="2:5" ht="27.75" customHeight="1" x14ac:dyDescent="0.25">
      <c r="B91" s="250" t="s">
        <v>364</v>
      </c>
    </row>
    <row r="92" spans="2:5" ht="27.75" customHeight="1" x14ac:dyDescent="0.35">
      <c r="B92" s="249" t="s">
        <v>367</v>
      </c>
    </row>
    <row r="93" spans="2:5" ht="27.75" customHeight="1" x14ac:dyDescent="0.35">
      <c r="B93" s="249" t="s">
        <v>28</v>
      </c>
    </row>
  </sheetData>
  <mergeCells count="14">
    <mergeCell ref="F32:G32"/>
    <mergeCell ref="B88:C88"/>
    <mergeCell ref="B89:E89"/>
    <mergeCell ref="B26:C26"/>
    <mergeCell ref="B27:E27"/>
    <mergeCell ref="B1:F1"/>
    <mergeCell ref="C6:D6"/>
    <mergeCell ref="C7:D7"/>
    <mergeCell ref="C12:D12"/>
    <mergeCell ref="C8:F8"/>
    <mergeCell ref="B5:D5"/>
    <mergeCell ref="B4:C4"/>
    <mergeCell ref="B10:C10"/>
    <mergeCell ref="B11:E11"/>
  </mergeCells>
  <dataValidations disablePrompts="1" count="1">
    <dataValidation type="list" allowBlank="1" showInputMessage="1" showErrorMessage="1" sqref="B92:B93" xr:uid="{026E8FB2-E9E0-47E5-A815-F7C8E4E76A9D}">
      <formula1>$B$92:$B$93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CreateForm">
                <anchor moveWithCells="1">
                  <from>
                    <xdr:col>4</xdr:col>
                    <xdr:colOff>28575</xdr:colOff>
                    <xdr:row>5</xdr:row>
                    <xdr:rowOff>28575</xdr:rowOff>
                  </from>
                  <to>
                    <xdr:col>5</xdr:col>
                    <xdr:colOff>1066800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RowAboveTableEnd">
                <anchor moveWithCells="1" sizeWithCells="1">
                  <from>
                    <xdr:col>2</xdr:col>
                    <xdr:colOff>219075</xdr:colOff>
                    <xdr:row>11</xdr:row>
                    <xdr:rowOff>76200</xdr:rowOff>
                  </from>
                  <to>
                    <xdr:col>3</xdr:col>
                    <xdr:colOff>419100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1ACB-5811-4277-9D41-E0A1864C9C10}">
  <sheetPr codeName="Sheet9">
    <tabColor theme="5" tint="-0.249977111117893"/>
  </sheetPr>
  <dimension ref="A1:BH103"/>
  <sheetViews>
    <sheetView tabSelected="1" topLeftCell="G1" zoomScale="70" zoomScaleNormal="70" workbookViewId="0">
      <selection activeCell="M7" sqref="M7"/>
    </sheetView>
  </sheetViews>
  <sheetFormatPr defaultRowHeight="18" customHeight="1" x14ac:dyDescent="0.25"/>
  <cols>
    <col min="1" max="1" width="4.28515625" style="34" customWidth="1"/>
    <col min="2" max="2" width="59.5703125" style="34" customWidth="1"/>
    <col min="3" max="3" width="27.85546875" style="34" customWidth="1"/>
    <col min="4" max="4" width="15.42578125" style="89" customWidth="1"/>
    <col min="5" max="5" width="5.28515625" style="34" customWidth="1"/>
    <col min="6" max="6" width="7.42578125" style="34" customWidth="1"/>
    <col min="7" max="7" width="48.7109375" style="34" customWidth="1"/>
    <col min="8" max="8" width="27" style="34" customWidth="1"/>
    <col min="9" max="9" width="26" style="34" customWidth="1"/>
    <col min="10" max="10" width="5.140625" style="89" customWidth="1"/>
    <col min="11" max="11" width="4.85546875" style="34" customWidth="1"/>
    <col min="12" max="12" width="1.7109375" style="34" customWidth="1"/>
    <col min="13" max="13" width="69.140625" style="34" customWidth="1"/>
    <col min="14" max="14" width="12.5703125" style="34" customWidth="1"/>
    <col min="15" max="15" width="16.42578125" style="34" customWidth="1"/>
    <col min="16" max="16" width="22.7109375" style="34" customWidth="1"/>
    <col min="17" max="17" width="42.85546875" style="34" customWidth="1"/>
    <col min="18" max="18" width="17.7109375" style="34" customWidth="1"/>
    <col min="19" max="53" width="9.140625" style="34"/>
    <col min="54" max="55" width="9.140625" style="215"/>
    <col min="56" max="57" width="9.140625" style="34"/>
    <col min="58" max="58" width="26.85546875" style="214" customWidth="1"/>
    <col min="59" max="59" width="18.85546875" style="213" customWidth="1"/>
    <col min="60" max="16384" width="9.140625" style="34"/>
  </cols>
  <sheetData>
    <row r="1" spans="2:60" s="172" customFormat="1" ht="18" customHeight="1" x14ac:dyDescent="0.25">
      <c r="D1" s="173"/>
      <c r="J1" s="173"/>
      <c r="BB1" s="34"/>
      <c r="BC1" s="34"/>
      <c r="BF1" s="213" t="s">
        <v>211</v>
      </c>
      <c r="BG1" s="213" t="s">
        <v>211</v>
      </c>
    </row>
    <row r="2" spans="2:60" s="172" customFormat="1" ht="26.25" customHeight="1" x14ac:dyDescent="0.25">
      <c r="B2" s="253" t="str">
        <f>Master_Input!C8</f>
        <v>FINANCIAL PERFORMANCE INDICATORS SWM SECTOR</v>
      </c>
      <c r="C2" s="253"/>
      <c r="D2" s="253"/>
      <c r="E2" s="253"/>
      <c r="F2" s="253"/>
      <c r="G2" s="253"/>
      <c r="J2" s="173"/>
      <c r="BB2" s="34"/>
      <c r="BC2" s="34"/>
      <c r="BF2" s="213" t="s">
        <v>211</v>
      </c>
      <c r="BG2" s="213" t="s">
        <v>211</v>
      </c>
    </row>
    <row r="3" spans="2:60" s="172" customFormat="1" ht="27.75" customHeight="1" x14ac:dyDescent="0.25">
      <c r="B3" s="174" t="s">
        <v>238</v>
      </c>
      <c r="C3" s="175" t="str">
        <f>Master_Input!C6</f>
        <v>2023-2024</v>
      </c>
      <c r="D3" s="173"/>
      <c r="J3" s="173"/>
      <c r="BB3" s="34"/>
      <c r="BC3" s="34"/>
      <c r="BF3" s="214"/>
      <c r="BG3" s="213"/>
    </row>
    <row r="4" spans="2:60" s="172" customFormat="1" ht="27.75" customHeight="1" x14ac:dyDescent="0.25">
      <c r="B4" s="174" t="s">
        <v>239</v>
      </c>
      <c r="C4" s="175" t="str">
        <f>Master_Input!C7</f>
        <v>FJD</v>
      </c>
      <c r="D4" s="173"/>
      <c r="J4" s="173"/>
      <c r="BB4" s="34"/>
      <c r="BC4" s="34"/>
      <c r="BF4" s="214"/>
      <c r="BG4" s="213"/>
    </row>
    <row r="5" spans="2:60" s="172" customFormat="1" ht="18" customHeight="1" x14ac:dyDescent="0.25">
      <c r="D5" s="173"/>
      <c r="J5" s="173"/>
      <c r="BB5" s="34"/>
      <c r="BC5" s="34"/>
      <c r="BF5" s="214"/>
      <c r="BG5" s="213"/>
    </row>
    <row r="6" spans="2:60" ht="18" customHeight="1" x14ac:dyDescent="0.25">
      <c r="BF6" s="214" t="s">
        <v>219</v>
      </c>
      <c r="BG6" s="213">
        <v>0</v>
      </c>
      <c r="BH6" s="34">
        <v>1441470.9345</v>
      </c>
    </row>
    <row r="7" spans="2:60" ht="18" customHeight="1" x14ac:dyDescent="0.25">
      <c r="BF7" s="214" t="s">
        <v>217</v>
      </c>
      <c r="BG7" s="213">
        <v>0</v>
      </c>
      <c r="BH7" s="34">
        <v>1451470.9345</v>
      </c>
    </row>
    <row r="8" spans="2:60" ht="18" customHeight="1" x14ac:dyDescent="0.25">
      <c r="BG8" s="213">
        <v>0</v>
      </c>
    </row>
    <row r="9" spans="2:60" ht="20.25" customHeight="1" x14ac:dyDescent="0.25">
      <c r="BG9" s="213">
        <v>0</v>
      </c>
    </row>
    <row r="10" spans="2:60" ht="20.25" customHeight="1" thickBot="1" x14ac:dyDescent="0.3">
      <c r="G10" s="110"/>
      <c r="M10" s="202" t="s">
        <v>314</v>
      </c>
      <c r="N10" s="196" t="str">
        <f>Master_Input!C7</f>
        <v>FJD</v>
      </c>
      <c r="O10" s="197" t="s">
        <v>275</v>
      </c>
    </row>
    <row r="11" spans="2:60" ht="20.25" customHeight="1" thickTop="1" x14ac:dyDescent="0.35">
      <c r="M11" s="193"/>
      <c r="N11" s="194"/>
      <c r="O11" s="195"/>
    </row>
    <row r="12" spans="2:60" ht="20.25" customHeight="1" x14ac:dyDescent="0.3">
      <c r="M12" s="198" t="s">
        <v>451</v>
      </c>
      <c r="N12" s="254"/>
      <c r="O12" s="254"/>
    </row>
    <row r="13" spans="2:60" ht="20.25" customHeight="1" x14ac:dyDescent="0.3">
      <c r="K13" s="105"/>
      <c r="M13" s="199" t="s">
        <v>312</v>
      </c>
      <c r="N13" s="255">
        <f>IFERROR(SUMIF(tblDBFRsummary[Label], "GARBAGE FEE*",tblDBFRsummary[Amount])/Master_Input!D29, 0)</f>
        <v>66666.666666666672</v>
      </c>
      <c r="O13" s="255"/>
      <c r="P13" s="34" t="e">
        <f>#REF!/SUM(O42:O44)</f>
        <v>#REF!</v>
      </c>
    </row>
    <row r="14" spans="2:60" ht="20.25" customHeight="1" x14ac:dyDescent="0.3">
      <c r="K14" s="105"/>
      <c r="M14" s="199" t="s">
        <v>313</v>
      </c>
      <c r="N14" s="255">
        <f>IFERROR(SUMIF(tblActivity[PER ACTIVITY], "COLLECTION &amp; TRANSPORT",tblActivity[amount])/Master_Input!D29, 0)</f>
        <v>0.26744670191151426</v>
      </c>
      <c r="O14" s="255"/>
      <c r="P14" s="34" t="e">
        <f>#REF!/SUM(O42:O44)</f>
        <v>#REF!</v>
      </c>
    </row>
    <row r="15" spans="2:60" ht="20.25" customHeight="1" x14ac:dyDescent="0.3">
      <c r="K15" s="105"/>
      <c r="M15" s="199" t="s">
        <v>276</v>
      </c>
      <c r="N15" s="258">
        <f>IFERROR(N13-N14,0)</f>
        <v>66666.399219964762</v>
      </c>
      <c r="O15" s="258"/>
      <c r="P15" s="34" t="e">
        <f>P13-P14</f>
        <v>#REF!</v>
      </c>
    </row>
    <row r="16" spans="2:60" ht="20.25" customHeight="1" x14ac:dyDescent="0.3">
      <c r="M16" s="191"/>
      <c r="N16" s="191"/>
      <c r="O16" s="192"/>
    </row>
    <row r="17" spans="2:17" ht="20.25" customHeight="1" x14ac:dyDescent="0.3">
      <c r="M17" s="198" t="s">
        <v>452</v>
      </c>
      <c r="N17" s="199"/>
      <c r="O17" s="200"/>
    </row>
    <row r="18" spans="2:17" ht="20.25" customHeight="1" x14ac:dyDescent="0.3">
      <c r="M18" s="199" t="s">
        <v>312</v>
      </c>
      <c r="N18" s="256">
        <f>IFERROR(SUMIF(tblDBFRsummary[Label], "LANDFILL FEE*",tblDBFRsummary[Amount])/Master_Input!D29, 0)</f>
        <v>33.333333333333336</v>
      </c>
      <c r="O18" s="256"/>
      <c r="P18" s="303" t="s">
        <v>454</v>
      </c>
    </row>
    <row r="19" spans="2:17" ht="20.25" customHeight="1" x14ac:dyDescent="0.3">
      <c r="M19" s="199" t="s">
        <v>313</v>
      </c>
      <c r="N19" s="256">
        <f>IFERROR(SUMIF(tblActivity[PER ACTIVITY], "FINAL DISPOSAL",tblActivity[amount])/Master_Input!D30, 0)</f>
        <v>0</v>
      </c>
      <c r="O19" s="256"/>
      <c r="P19" s="303" t="s">
        <v>455</v>
      </c>
    </row>
    <row r="20" spans="2:17" ht="20.25" customHeight="1" x14ac:dyDescent="0.3">
      <c r="M20" s="199" t="s">
        <v>276</v>
      </c>
      <c r="N20" s="257">
        <f>IFERROR(N18-N19,0)</f>
        <v>33.333333333333336</v>
      </c>
      <c r="O20" s="257"/>
    </row>
    <row r="21" spans="2:17" ht="20.25" customHeight="1" x14ac:dyDescent="0.3">
      <c r="M21" s="191"/>
      <c r="N21" s="191"/>
      <c r="O21" s="201"/>
    </row>
    <row r="23" spans="2:17" ht="18" customHeight="1" x14ac:dyDescent="0.25">
      <c r="M23" s="260" t="s">
        <v>330</v>
      </c>
      <c r="N23" s="260"/>
      <c r="O23" s="260"/>
    </row>
    <row r="24" spans="2:17" ht="18" customHeight="1" x14ac:dyDescent="0.25">
      <c r="M24" s="35" t="s">
        <v>464</v>
      </c>
      <c r="N24" s="35" t="s">
        <v>460</v>
      </c>
      <c r="O24" s="92">
        <f>IFERROR(SUMIF(tblActivity[PER ACTIVITY], "COLLECTION &amp; TRANSPORT",tblActivity[label])/Master_Input!D33, 0)</f>
        <v>63.512326680340593</v>
      </c>
      <c r="P24" s="303" t="s">
        <v>456</v>
      </c>
    </row>
    <row r="25" spans="2:17" ht="18" customHeight="1" x14ac:dyDescent="0.25">
      <c r="M25" s="35" t="s">
        <v>465</v>
      </c>
      <c r="N25" s="35" t="s">
        <v>460</v>
      </c>
      <c r="O25" s="92">
        <f>IFERROR(SUMIF(tblActivity[PER ACTIVITY], "FINAL DISPOSAL",tblActivity[label])/Master_Input!D33, 0)</f>
        <v>42.542224510361152</v>
      </c>
      <c r="P25" s="303" t="s">
        <v>455</v>
      </c>
    </row>
    <row r="26" spans="2:17" ht="18" customHeight="1" x14ac:dyDescent="0.25">
      <c r="M26" s="35" t="s">
        <v>459</v>
      </c>
      <c r="N26" s="35" t="s">
        <v>461</v>
      </c>
      <c r="O26" s="92">
        <f>tblActivity[[#Totals],[label]]/Master_Input!F39</f>
        <v>600.61288937500001</v>
      </c>
      <c r="P26" s="303" t="s">
        <v>457</v>
      </c>
    </row>
    <row r="27" spans="2:17" ht="18" customHeight="1" x14ac:dyDescent="0.25">
      <c r="M27" s="35" t="s">
        <v>466</v>
      </c>
      <c r="N27" s="35" t="s">
        <v>462</v>
      </c>
      <c r="O27" s="92">
        <f>IFERROR(SUMIF(tblActivity[PER ACTIVITY], "PUBLIC AWARENESS*",tblActivity[label])/Master_Input!D33, 0)</f>
        <v>0.1317968022800847</v>
      </c>
      <c r="P27" s="303" t="s">
        <v>463</v>
      </c>
    </row>
    <row r="30" spans="2:17" ht="18" customHeight="1" x14ac:dyDescent="0.25">
      <c r="D30" s="34"/>
    </row>
    <row r="31" spans="2:17" ht="18" customHeight="1" x14ac:dyDescent="0.25">
      <c r="B31" s="252" t="s">
        <v>42</v>
      </c>
      <c r="C31" s="252"/>
      <c r="D31" s="252"/>
      <c r="G31" s="259" t="s">
        <v>134</v>
      </c>
      <c r="H31" s="259"/>
      <c r="I31" s="259"/>
      <c r="J31" s="206"/>
      <c r="M31" s="261" t="s">
        <v>234</v>
      </c>
      <c r="N31" s="261"/>
      <c r="O31" s="261"/>
      <c r="P31" s="206"/>
      <c r="Q31" s="206"/>
    </row>
    <row r="32" spans="2:17" ht="18" customHeight="1" x14ac:dyDescent="0.25">
      <c r="B32" s="252"/>
      <c r="C32" s="252"/>
      <c r="D32" s="252"/>
      <c r="G32" s="259"/>
      <c r="H32" s="259"/>
      <c r="I32" s="259"/>
      <c r="J32" s="206"/>
      <c r="M32" s="261"/>
      <c r="N32" s="261"/>
      <c r="O32" s="261"/>
      <c r="P32" s="206"/>
      <c r="Q32" s="206"/>
    </row>
    <row r="33" spans="1:59" ht="18" customHeight="1" x14ac:dyDescent="0.25">
      <c r="B33" s="118"/>
      <c r="C33" s="107" t="str">
        <f>C4</f>
        <v>FJD</v>
      </c>
      <c r="D33" s="109" t="s">
        <v>147</v>
      </c>
      <c r="G33" s="118"/>
      <c r="H33" s="107" t="str">
        <f>C4</f>
        <v>FJD</v>
      </c>
      <c r="I33" s="108" t="s">
        <v>147</v>
      </c>
      <c r="J33" s="205"/>
      <c r="M33" s="108" t="s">
        <v>235</v>
      </c>
      <c r="N33" s="108" t="s">
        <v>43</v>
      </c>
      <c r="O33" s="108" t="s">
        <v>38</v>
      </c>
      <c r="AZ33" s="215"/>
      <c r="BA33" s="215"/>
      <c r="BB33" s="34"/>
      <c r="BC33" s="34"/>
      <c r="BD33" s="214"/>
      <c r="BE33" s="213"/>
      <c r="BF33" s="34"/>
      <c r="BG33" s="34"/>
    </row>
    <row r="34" spans="1:59" ht="18" customHeight="1" x14ac:dyDescent="0.25">
      <c r="B34" s="119" t="s">
        <v>132</v>
      </c>
      <c r="C34" s="112" t="s">
        <v>208</v>
      </c>
      <c r="D34" s="95" t="s">
        <v>152</v>
      </c>
      <c r="G34" s="119" t="s">
        <v>209</v>
      </c>
      <c r="H34" s="114" t="s">
        <v>257</v>
      </c>
      <c r="I34" s="98" t="s">
        <v>210</v>
      </c>
      <c r="M34" s="245" t="str">
        <f>Master_Input!B29</f>
        <v>Waste Generation per Capita per Day</v>
      </c>
      <c r="N34" s="123" t="str">
        <f>Master_Input!C29</f>
        <v>kg</v>
      </c>
      <c r="O34" s="190">
        <f>Master_Input!D29</f>
        <v>1.5</v>
      </c>
      <c r="AY34" s="180"/>
      <c r="AZ34" s="215"/>
      <c r="BA34" s="215"/>
      <c r="BB34" s="34"/>
      <c r="BC34" s="34"/>
      <c r="BD34" s="213"/>
      <c r="BE34" s="214"/>
      <c r="BF34" s="34"/>
      <c r="BG34" s="34"/>
    </row>
    <row r="35" spans="1:59" ht="18" customHeight="1" x14ac:dyDescent="0.25">
      <c r="B35" s="101" t="s">
        <v>102</v>
      </c>
      <c r="C35" s="113">
        <v>100000</v>
      </c>
      <c r="D35" s="97">
        <f>IFERROR(tblDashInternalFR[[#This Row],[AMOUNT]]/(tblDashInternalFR[[#Totals],[AMOUNT]]+tblDashExternalFR[[#Totals],[AMOUNT]]),0)</f>
        <v>0.161277316345456</v>
      </c>
      <c r="G35" s="35" t="s">
        <v>450</v>
      </c>
      <c r="H35" s="91">
        <v>450000</v>
      </c>
      <c r="I35" s="293">
        <v>0.31218111252176622</v>
      </c>
      <c r="M35" s="244" t="str">
        <f>Master_Input!B30</f>
        <v>Town Boundary</v>
      </c>
      <c r="N35" s="123"/>
      <c r="O35" s="190"/>
      <c r="AY35" s="180"/>
      <c r="AZ35" s="215"/>
      <c r="BA35" s="215"/>
      <c r="BB35" s="34"/>
      <c r="BC35" s="34"/>
      <c r="BD35" s="213"/>
      <c r="BE35" s="214"/>
      <c r="BF35" s="34"/>
      <c r="BG35" s="34"/>
    </row>
    <row r="36" spans="1:59" ht="18" customHeight="1" x14ac:dyDescent="0.25">
      <c r="A36" s="35"/>
      <c r="B36" s="101" t="s">
        <v>125</v>
      </c>
      <c r="C36" s="113">
        <v>50</v>
      </c>
      <c r="D36" s="97">
        <f>IFERROR(tblDashInternalFR[[#This Row],[AMOUNT]]/(tblDashInternalFR[[#Totals],[AMOUNT]]+tblDashExternalFR[[#Totals],[AMOUNT]]),0)</f>
        <v>8.0638658172728012E-5</v>
      </c>
      <c r="G36" s="35" t="s">
        <v>83</v>
      </c>
      <c r="H36" s="91">
        <v>24652.2</v>
      </c>
      <c r="I36" s="293">
        <v>1.7102113826909078E-2</v>
      </c>
      <c r="M36" s="243" t="str">
        <f>Master_Input!B31</f>
        <v>Total Household Population</v>
      </c>
      <c r="N36" s="123" t="str">
        <f>Master_Input!C31</f>
        <v>no</v>
      </c>
      <c r="O36" s="190">
        <f>Master_Input!D31</f>
        <v>3326</v>
      </c>
      <c r="AZ36" s="215"/>
      <c r="BA36" s="215"/>
      <c r="BB36" s="34"/>
      <c r="BC36" s="34"/>
      <c r="BD36" s="214"/>
      <c r="BE36" s="213"/>
      <c r="BF36" s="34"/>
      <c r="BG36" s="34"/>
    </row>
    <row r="37" spans="1:59" ht="18" customHeight="1" x14ac:dyDescent="0.25">
      <c r="B37" s="101" t="s">
        <v>253</v>
      </c>
      <c r="C37" s="113">
        <v>20000</v>
      </c>
      <c r="D37" s="97">
        <f>IFERROR(tblDashInternalFR[[#This Row],[AMOUNT]]/(tblDashInternalFR[[#Totals],[AMOUNT]]+tblDashExternalFR[[#Totals],[AMOUNT]]),0)</f>
        <v>3.2255463269091206E-2</v>
      </c>
      <c r="G37" s="35" t="s">
        <v>87</v>
      </c>
      <c r="H37" s="91">
        <v>578274.97100000002</v>
      </c>
      <c r="I37" s="293">
        <v>0.40117005286727137</v>
      </c>
      <c r="M37" s="243" t="str">
        <f>Master_Input!B32</f>
        <v>Total Population</v>
      </c>
      <c r="N37" s="123" t="str">
        <f>Master_Input!C32</f>
        <v>no</v>
      </c>
      <c r="O37" s="190">
        <f>Master_Input!D32</f>
        <v>16630</v>
      </c>
      <c r="AZ37" s="215"/>
      <c r="BA37" s="215"/>
      <c r="BB37" s="34"/>
      <c r="BC37" s="34"/>
      <c r="BD37" s="214"/>
      <c r="BE37" s="213"/>
      <c r="BF37" s="34"/>
      <c r="BG37" s="34"/>
    </row>
    <row r="38" spans="1:59" ht="18" customHeight="1" x14ac:dyDescent="0.25">
      <c r="B38" s="101" t="s">
        <v>198</v>
      </c>
      <c r="C38" s="113">
        <f>SUBTOTAL(109,tblDashInternalFR[AMOUNT])</f>
        <v>120050</v>
      </c>
      <c r="D38" s="216">
        <f>SUBTOTAL(109,tblDashInternalFR[PERCENTAGE])</f>
        <v>0.19361341827271994</v>
      </c>
      <c r="G38" s="35" t="s">
        <v>88</v>
      </c>
      <c r="H38" s="91">
        <v>387343.7635</v>
      </c>
      <c r="I38" s="293">
        <v>0.26871423781732867</v>
      </c>
      <c r="M38" s="243" t="str">
        <f>Master_Input!B33</f>
        <v>Total Domestic Waste Generation</v>
      </c>
      <c r="N38" s="123" t="str">
        <f>Master_Input!C33</f>
        <v>tons</v>
      </c>
      <c r="O38" s="190">
        <f>Master_Input!D33</f>
        <v>9104.9249999999993</v>
      </c>
      <c r="P38" s="105"/>
      <c r="AZ38" s="215"/>
      <c r="BA38" s="215"/>
      <c r="BB38" s="34"/>
      <c r="BC38" s="34"/>
      <c r="BD38" s="214"/>
      <c r="BE38" s="213"/>
      <c r="BF38" s="34"/>
      <c r="BG38" s="34"/>
    </row>
    <row r="39" spans="1:59" ht="18" customHeight="1" x14ac:dyDescent="0.25">
      <c r="B39" s="119" t="s">
        <v>133</v>
      </c>
      <c r="C39" s="112" t="s">
        <v>208</v>
      </c>
      <c r="D39" s="95" t="s">
        <v>152</v>
      </c>
      <c r="G39" s="35" t="s">
        <v>89</v>
      </c>
      <c r="H39" s="91">
        <v>1200</v>
      </c>
      <c r="I39" s="293">
        <v>8.3248296672470989E-4</v>
      </c>
      <c r="M39" s="243" t="str">
        <f>Master_Input!B34</f>
        <v>Total Service Area</v>
      </c>
      <c r="N39" s="123" t="str">
        <f>Master_Input!C34</f>
        <v>ha</v>
      </c>
      <c r="O39" s="190">
        <f>Master_Input!D34</f>
        <v>1200</v>
      </c>
      <c r="P39" s="105"/>
      <c r="AZ39" s="215"/>
      <c r="BA39" s="215"/>
      <c r="BB39" s="34"/>
      <c r="BC39" s="34"/>
      <c r="BD39" s="214"/>
      <c r="BE39" s="213"/>
      <c r="BF39" s="34"/>
      <c r="BG39" s="34"/>
    </row>
    <row r="40" spans="1:59" ht="18" customHeight="1" x14ac:dyDescent="0.25">
      <c r="B40" s="102" t="s">
        <v>430</v>
      </c>
      <c r="C40" s="99">
        <v>500000</v>
      </c>
      <c r="D40" s="97">
        <f>IFERROR(tblDashExternalFR[[#This Row],[AMOUNT]]/(tblDashInternalFR[[#Totals],[AMOUNT]]+tblDashExternalFR[[#Totals],[AMOUNT]]),0)</f>
        <v>0.80638658172728006</v>
      </c>
      <c r="G40" s="35" t="s">
        <v>218</v>
      </c>
      <c r="H40" s="91">
        <f>GrandTotal_OC</f>
        <v>1441470.9345</v>
      </c>
      <c r="I40" s="94">
        <f>SUBTOTAL(109,tblActivity[amount])</f>
        <v>0.99999999999999989</v>
      </c>
      <c r="M40" s="246" t="str">
        <f>Master_Input!B35</f>
        <v>Population Density</v>
      </c>
      <c r="N40" s="123" t="str">
        <f>Master_Input!C35</f>
        <v>no/ha</v>
      </c>
      <c r="O40" s="190">
        <f>Master_Input!D35</f>
        <v>13.858333333333333</v>
      </c>
      <c r="P40" s="105"/>
      <c r="AZ40" s="215"/>
      <c r="BA40" s="215"/>
      <c r="BB40" s="34"/>
      <c r="BC40" s="34"/>
      <c r="BD40" s="214"/>
      <c r="BE40" s="213"/>
      <c r="BF40" s="34"/>
      <c r="BG40" s="34"/>
    </row>
    <row r="41" spans="1:59" ht="18" customHeight="1" x14ac:dyDescent="0.25">
      <c r="B41" s="102" t="s">
        <v>198</v>
      </c>
      <c r="C41" s="99">
        <f>SUBTOTAL(109,tblDashExternalFR[AMOUNT])</f>
        <v>500000</v>
      </c>
      <c r="D41" s="96">
        <f>SUBTOTAL(109,tblDashExternalFR[PERCENTAGE])</f>
        <v>0.80638658172728006</v>
      </c>
      <c r="M41" s="242" t="str">
        <f>Master_Input!B36</f>
        <v>Waste Collected and Transported</v>
      </c>
      <c r="N41" s="123"/>
      <c r="O41" s="190"/>
      <c r="P41" s="105"/>
      <c r="AZ41" s="215"/>
      <c r="BA41" s="215"/>
      <c r="BB41" s="34"/>
      <c r="BC41" s="34"/>
      <c r="BD41" s="214"/>
      <c r="BE41" s="213"/>
      <c r="BF41" s="34"/>
      <c r="BG41" s="34"/>
    </row>
    <row r="42" spans="1:59" ht="18" customHeight="1" x14ac:dyDescent="0.25">
      <c r="B42" s="102"/>
      <c r="C42" s="93"/>
      <c r="D42" s="96"/>
      <c r="G42" s="119" t="s">
        <v>217</v>
      </c>
      <c r="H42" s="120" t="s">
        <v>152</v>
      </c>
      <c r="I42" s="106" t="s">
        <v>126</v>
      </c>
      <c r="M42" s="246" t="str">
        <f>Master_Input!B37</f>
        <v>General Waste</v>
      </c>
      <c r="N42" s="123" t="str">
        <f>Master_Input!C37</f>
        <v>tons</v>
      </c>
      <c r="O42" s="190">
        <f>Master_Input!D37</f>
        <v>4397</v>
      </c>
      <c r="P42" s="105"/>
      <c r="AZ42" s="215"/>
      <c r="BA42" s="215"/>
      <c r="BB42" s="34"/>
      <c r="BC42" s="34"/>
      <c r="BD42" s="214"/>
      <c r="BE42" s="213"/>
      <c r="BF42" s="34"/>
      <c r="BG42" s="34"/>
    </row>
    <row r="43" spans="1:59" ht="18" customHeight="1" x14ac:dyDescent="0.25">
      <c r="B43" s="115" t="s">
        <v>221</v>
      </c>
      <c r="C43" s="116" t="s">
        <v>127</v>
      </c>
      <c r="D43" s="117" t="s">
        <v>177</v>
      </c>
      <c r="G43" s="93" t="s">
        <v>49</v>
      </c>
      <c r="H43" s="211">
        <v>1441470.9345</v>
      </c>
      <c r="I43" s="96"/>
      <c r="M43" s="246" t="str">
        <f>Master_Input!B38</f>
        <v>Green Waste</v>
      </c>
      <c r="N43" s="123" t="str">
        <f>Master_Input!C38</f>
        <v>tons</v>
      </c>
      <c r="O43" s="190">
        <f>Master_Input!D38</f>
        <v>0</v>
      </c>
      <c r="AZ43" s="215"/>
      <c r="BA43" s="215"/>
      <c r="BB43" s="34"/>
      <c r="BC43" s="34"/>
      <c r="BD43" s="214"/>
      <c r="BE43" s="213"/>
      <c r="BF43" s="34"/>
      <c r="BG43" s="34"/>
    </row>
    <row r="44" spans="1:59" ht="18" customHeight="1" x14ac:dyDescent="0.25">
      <c r="B44" s="104" t="s">
        <v>124</v>
      </c>
      <c r="C44" s="121">
        <f>tblDashInternalFR[[#Totals],[AMOUNT]]+tblDashExternalFR[[#Totals],[AMOUNT]]</f>
        <v>620050</v>
      </c>
      <c r="D44" s="122">
        <f>IFERROR((tblDashInternalFR[[#Totals],[AMOUNT]]+tblDashExternalFR[[#Totals],[AMOUNT]])/(tblDashInternalFR[[#Totals],[AMOUNT]]+tblDashExternalFR[[#Totals],[AMOUNT]]),0)</f>
        <v>1</v>
      </c>
      <c r="G44" s="99" t="s">
        <v>212</v>
      </c>
      <c r="H44" s="210">
        <v>319851.70450000005</v>
      </c>
      <c r="I44" s="207">
        <v>0.22036383705484394</v>
      </c>
      <c r="M44" s="246" t="str">
        <f>Master_Input!B39</f>
        <v>Others</v>
      </c>
      <c r="N44" s="123" t="str">
        <f>Master_Input!C39</f>
        <v>tons</v>
      </c>
      <c r="O44" s="190">
        <f>Master_Input!D39</f>
        <v>0</v>
      </c>
      <c r="AZ44" s="215"/>
      <c r="BA44" s="215"/>
      <c r="BB44" s="34"/>
      <c r="BC44" s="34"/>
      <c r="BD44" s="214"/>
      <c r="BE44" s="213"/>
      <c r="BF44" s="34"/>
      <c r="BG44" s="34"/>
    </row>
    <row r="45" spans="1:59" ht="18" customHeight="1" x14ac:dyDescent="0.25">
      <c r="B45" s="104" t="s">
        <v>220</v>
      </c>
      <c r="C45" s="186">
        <f>((tblDashInternalFR[[#Totals],[AMOUNT]]+tblDashExternalFR[[#Totals],[AMOUNT]])-GrandTotal_OC)</f>
        <v>-821420.93449999997</v>
      </c>
      <c r="D45" s="187">
        <f>IFERROR(((tblDashInternalFR[[#Totals],[AMOUNT]]+tblDashExternalFR[[#Totals],[AMOUNT]])-GrandTotal_OC) / (tblDashInternalFR[[#Totals],[AMOUNT]]+tblDashExternalFR[[#Totals],[AMOUNT]]),0)</f>
        <v>-1.324765639061366</v>
      </c>
      <c r="G45" s="99" t="s">
        <v>213</v>
      </c>
      <c r="H45" s="210">
        <v>1121619.23</v>
      </c>
      <c r="I45" s="207">
        <v>0.7727466002523663</v>
      </c>
      <c r="M45" s="242" t="str">
        <f>Master_Input!B44</f>
        <v>Non-Domestic Waste Generators</v>
      </c>
      <c r="N45" s="123"/>
      <c r="O45" s="190"/>
      <c r="P45" s="105"/>
      <c r="AZ45" s="215"/>
      <c r="BA45" s="215"/>
      <c r="BB45" s="34"/>
      <c r="BC45" s="34"/>
      <c r="BD45" s="214"/>
      <c r="BE45" s="213"/>
      <c r="BF45" s="34"/>
      <c r="BG45" s="34"/>
    </row>
    <row r="46" spans="1:59" ht="18" customHeight="1" x14ac:dyDescent="0.25">
      <c r="B46" s="300" t="s">
        <v>432</v>
      </c>
      <c r="C46" s="300"/>
      <c r="D46" s="301"/>
      <c r="G46" s="93" t="s">
        <v>216</v>
      </c>
      <c r="H46" s="212">
        <v>10000</v>
      </c>
      <c r="I46" s="96"/>
      <c r="M46" s="246" t="str">
        <f>Master_Input!B45</f>
        <v xml:space="preserve"> Hotels and other Accommodations</v>
      </c>
      <c r="N46" s="123" t="str">
        <f>Master_Input!C45</f>
        <v>no</v>
      </c>
      <c r="O46" s="190">
        <f>Master_Input!D45</f>
        <v>0</v>
      </c>
      <c r="P46" s="105"/>
      <c r="AZ46" s="215"/>
      <c r="BA46" s="215"/>
      <c r="BB46" s="34"/>
      <c r="BC46" s="34"/>
      <c r="BD46" s="214"/>
      <c r="BE46" s="213"/>
      <c r="BF46" s="34"/>
      <c r="BG46" s="34"/>
    </row>
    <row r="47" spans="1:59" ht="18" customHeight="1" thickBot="1" x14ac:dyDescent="0.3">
      <c r="D47" s="34"/>
      <c r="E47" s="183"/>
      <c r="G47" s="99" t="s">
        <v>214</v>
      </c>
      <c r="H47" s="210">
        <v>10000</v>
      </c>
      <c r="I47" s="207">
        <v>6.889562692789836E-3</v>
      </c>
      <c r="M47" s="246" t="str">
        <f>Master_Input!B46</f>
        <v xml:space="preserve">Restaurants </v>
      </c>
      <c r="N47" s="123" t="str">
        <f>Master_Input!C46</f>
        <v>no</v>
      </c>
      <c r="O47" s="190">
        <f>Master_Input!D46</f>
        <v>0</v>
      </c>
      <c r="AZ47" s="215"/>
      <c r="BA47" s="215"/>
      <c r="BB47" s="34"/>
      <c r="BC47" s="34"/>
      <c r="BD47" s="214"/>
      <c r="BE47" s="213"/>
      <c r="BF47" s="34"/>
      <c r="BG47" s="34"/>
    </row>
    <row r="48" spans="1:59" ht="18" customHeight="1" x14ac:dyDescent="0.25">
      <c r="D48" s="34"/>
      <c r="E48" s="183"/>
      <c r="G48" s="100" t="s">
        <v>215</v>
      </c>
      <c r="H48" s="208">
        <v>1451470.9345</v>
      </c>
      <c r="I48" s="209">
        <v>1</v>
      </c>
      <c r="M48" s="246" t="str">
        <f>Master_Input!B47</f>
        <v>Shops and Supermarkets</v>
      </c>
      <c r="N48" s="123" t="str">
        <f>Master_Input!C47</f>
        <v>no</v>
      </c>
      <c r="O48" s="190">
        <f>Master_Input!D47</f>
        <v>0</v>
      </c>
      <c r="P48" s="105"/>
      <c r="BA48" s="215"/>
      <c r="BC48" s="34"/>
      <c r="BE48" s="214"/>
      <c r="BF48" s="213"/>
      <c r="BG48" s="34"/>
    </row>
    <row r="49" spans="4:59" ht="18" customHeight="1" x14ac:dyDescent="0.25">
      <c r="D49" s="34"/>
      <c r="E49" s="183"/>
      <c r="M49" s="246" t="str">
        <f>Master_Input!B48</f>
        <v>Private Offices</v>
      </c>
      <c r="N49" s="123" t="str">
        <f>Master_Input!C48</f>
        <v>no</v>
      </c>
      <c r="O49" s="190">
        <f>Master_Input!D48</f>
        <v>0</v>
      </c>
      <c r="P49" s="105"/>
      <c r="BA49" s="215"/>
      <c r="BC49" s="34"/>
      <c r="BE49" s="214"/>
      <c r="BF49" s="213"/>
      <c r="BG49" s="34"/>
    </row>
    <row r="50" spans="4:59" ht="18" customHeight="1" x14ac:dyDescent="0.25">
      <c r="D50" s="34"/>
      <c r="E50" s="183"/>
      <c r="M50" s="246" t="str">
        <f>Master_Input!B49</f>
        <v>Institutions</v>
      </c>
      <c r="N50" s="123" t="str">
        <f>Master_Input!C49</f>
        <v>no</v>
      </c>
      <c r="O50" s="190">
        <f>Master_Input!D49</f>
        <v>0</v>
      </c>
      <c r="P50" s="105"/>
      <c r="BA50" s="215"/>
      <c r="BC50" s="34"/>
      <c r="BE50" s="214"/>
      <c r="BF50" s="213"/>
      <c r="BG50" s="34"/>
    </row>
    <row r="51" spans="4:59" ht="18" customHeight="1" x14ac:dyDescent="0.25">
      <c r="D51" s="34"/>
      <c r="E51" s="183"/>
      <c r="M51" s="246" t="str">
        <f>Master_Input!B50</f>
        <v>Others</v>
      </c>
      <c r="N51" s="123" t="str">
        <f>Master_Input!C50</f>
        <v>no</v>
      </c>
      <c r="O51" s="190">
        <f>Master_Input!D50</f>
        <v>0</v>
      </c>
      <c r="P51" s="105"/>
      <c r="BA51" s="215"/>
      <c r="BC51" s="34"/>
      <c r="BE51" s="214"/>
      <c r="BF51" s="213"/>
      <c r="BG51" s="34"/>
    </row>
    <row r="52" spans="4:59" ht="18" customHeight="1" x14ac:dyDescent="0.25">
      <c r="D52" s="34"/>
      <c r="E52" s="183"/>
      <c r="M52" s="242" t="str">
        <f>Master_Input!B51</f>
        <v>Total Compost Processed</v>
      </c>
      <c r="N52" s="123" t="str">
        <f>Master_Input!C51</f>
        <v>tons</v>
      </c>
      <c r="O52" s="190">
        <f>Master_Input!D51</f>
        <v>0</v>
      </c>
      <c r="P52" s="105"/>
      <c r="AZ52" s="103"/>
      <c r="BA52" s="215"/>
      <c r="BC52" s="34"/>
      <c r="BE52" s="213"/>
      <c r="BG52" s="34"/>
    </row>
    <row r="53" spans="4:59" ht="18" customHeight="1" x14ac:dyDescent="0.25">
      <c r="D53" s="34"/>
      <c r="E53" s="183"/>
      <c r="M53" s="242" t="str">
        <f>Master_Input!B52</f>
        <v>Total Recyclables Collected</v>
      </c>
      <c r="N53" s="123" t="str">
        <f>Master_Input!C52</f>
        <v>tons</v>
      </c>
      <c r="O53" s="190">
        <f>Master_Input!D52</f>
        <v>0</v>
      </c>
      <c r="P53" s="105"/>
      <c r="AZ53" s="103"/>
      <c r="BA53" s="215"/>
      <c r="BC53" s="34"/>
      <c r="BE53" s="213"/>
      <c r="BG53" s="34"/>
    </row>
    <row r="54" spans="4:59" ht="18" customHeight="1" x14ac:dyDescent="0.25">
      <c r="D54" s="34"/>
      <c r="E54" s="183"/>
      <c r="M54" s="242" t="str">
        <f>Master_Input!B53</f>
        <v>Total Bins</v>
      </c>
      <c r="N54" s="123" t="str">
        <f>Master_Input!C53</f>
        <v>no</v>
      </c>
      <c r="O54" s="190">
        <f>Master_Input!D53</f>
        <v>2007</v>
      </c>
      <c r="P54" s="105"/>
      <c r="AZ54" s="103"/>
      <c r="BA54" s="215"/>
      <c r="BC54" s="34"/>
      <c r="BE54" s="213"/>
      <c r="BG54" s="34"/>
    </row>
    <row r="55" spans="4:59" ht="18" customHeight="1" x14ac:dyDescent="0.25">
      <c r="D55" s="34"/>
      <c r="E55" s="183"/>
      <c r="M55" s="242" t="str">
        <f>Master_Input!B54</f>
        <v>Total Illegal Dumpsites</v>
      </c>
      <c r="N55" s="123" t="str">
        <f>Master_Input!C54</f>
        <v>no</v>
      </c>
      <c r="O55" s="190">
        <f>Master_Input!D54</f>
        <v>0</v>
      </c>
      <c r="AZ55" s="103"/>
      <c r="BA55" s="215"/>
      <c r="BC55" s="34"/>
      <c r="BE55" s="213"/>
      <c r="BG55" s="34"/>
    </row>
    <row r="56" spans="4:59" ht="18" customHeight="1" x14ac:dyDescent="0.25">
      <c r="D56" s="34"/>
      <c r="E56" s="183"/>
      <c r="M56" s="242" t="str">
        <f>Master_Input!B55</f>
        <v>Number of Informal Settlements</v>
      </c>
      <c r="N56" s="123" t="str">
        <f>Master_Input!C55</f>
        <v>no.</v>
      </c>
      <c r="O56" s="190">
        <f>Master_Input!D55</f>
        <v>0</v>
      </c>
      <c r="AZ56" s="103"/>
      <c r="BA56" s="215"/>
      <c r="BC56" s="34"/>
      <c r="BE56" s="213"/>
      <c r="BG56" s="34"/>
    </row>
    <row r="57" spans="4:59" ht="18" customHeight="1" x14ac:dyDescent="0.25">
      <c r="D57" s="34"/>
      <c r="M57" s="244" t="str">
        <f>Master_Input!B56</f>
        <v>Delegated Boundary</v>
      </c>
      <c r="N57" s="123"/>
      <c r="O57" s="190"/>
      <c r="BA57" s="215"/>
      <c r="BC57" s="34"/>
      <c r="BE57" s="214"/>
      <c r="BF57" s="213"/>
      <c r="BG57" s="34"/>
    </row>
    <row r="58" spans="4:59" ht="18" customHeight="1" x14ac:dyDescent="0.25">
      <c r="M58" s="242" t="str">
        <f>Master_Input!B57</f>
        <v>Total Household Population</v>
      </c>
      <c r="N58" s="123" t="str">
        <f>Master_Input!C57</f>
        <v>no.</v>
      </c>
      <c r="O58" s="190">
        <f>Master_Input!D57</f>
        <v>0</v>
      </c>
      <c r="BA58" s="215"/>
      <c r="BC58" s="34"/>
      <c r="BE58" s="214"/>
      <c r="BF58" s="213"/>
      <c r="BG58" s="34"/>
    </row>
    <row r="59" spans="4:59" ht="18" customHeight="1" x14ac:dyDescent="0.25">
      <c r="M59" s="242" t="str">
        <f>Master_Input!B58</f>
        <v>Total Population</v>
      </c>
      <c r="N59" s="123" t="str">
        <f>Master_Input!C58</f>
        <v>no</v>
      </c>
      <c r="O59" s="190">
        <f>Master_Input!D58</f>
        <v>1000</v>
      </c>
      <c r="BA59" s="215"/>
      <c r="BC59" s="34"/>
      <c r="BE59" s="214"/>
      <c r="BF59" s="213"/>
      <c r="BG59" s="34"/>
    </row>
    <row r="60" spans="4:59" ht="18" customHeight="1" x14ac:dyDescent="0.25">
      <c r="M60" s="242" t="str">
        <f>Master_Input!B59</f>
        <v>Total Domestic Waste Generation</v>
      </c>
      <c r="N60" s="123" t="str">
        <f>Master_Input!C59</f>
        <v>tons</v>
      </c>
      <c r="O60" s="190">
        <f>Master_Input!D59</f>
        <v>547.5</v>
      </c>
      <c r="BA60" s="215"/>
      <c r="BC60" s="34"/>
      <c r="BE60" s="214"/>
      <c r="BF60" s="213"/>
      <c r="BG60" s="34"/>
    </row>
    <row r="61" spans="4:59" ht="18" customHeight="1" x14ac:dyDescent="0.25">
      <c r="M61" s="242" t="str">
        <f>Master_Input!B60</f>
        <v>Total service area</v>
      </c>
      <c r="N61" s="123" t="str">
        <f>Master_Input!C60</f>
        <v>ha</v>
      </c>
      <c r="O61" s="190">
        <f>Master_Input!D60</f>
        <v>1200</v>
      </c>
      <c r="BA61" s="215"/>
      <c r="BC61" s="34"/>
      <c r="BE61" s="214"/>
      <c r="BF61" s="213"/>
      <c r="BG61" s="34"/>
    </row>
    <row r="62" spans="4:59" ht="18" customHeight="1" x14ac:dyDescent="0.25">
      <c r="M62" s="242" t="str">
        <f>Master_Input!B61</f>
        <v>Population Density</v>
      </c>
      <c r="N62" s="123" t="str">
        <f>Master_Input!C61</f>
        <v>no/ha</v>
      </c>
      <c r="O62" s="190">
        <f>Master_Input!D61</f>
        <v>0.83333333333333337</v>
      </c>
      <c r="BA62" s="215"/>
      <c r="BC62" s="34"/>
      <c r="BE62" s="214"/>
      <c r="BF62" s="213"/>
      <c r="BG62" s="34"/>
    </row>
    <row r="63" spans="4:59" ht="18" customHeight="1" x14ac:dyDescent="0.25">
      <c r="M63" s="242" t="str">
        <f>Master_Input!B62</f>
        <v>Waste Collected and Transported</v>
      </c>
      <c r="N63" s="123"/>
      <c r="O63" s="190"/>
      <c r="BA63" s="215"/>
      <c r="BC63" s="34"/>
      <c r="BE63" s="214"/>
      <c r="BF63" s="213"/>
      <c r="BG63" s="34"/>
    </row>
    <row r="64" spans="4:59" ht="18" customHeight="1" x14ac:dyDescent="0.25">
      <c r="M64" s="243" t="str">
        <f>Master_Input!B63</f>
        <v>General Waste</v>
      </c>
      <c r="N64" s="123" t="str">
        <f>Master_Input!C63</f>
        <v>tons</v>
      </c>
      <c r="O64" s="190">
        <f>Master_Input!D63</f>
        <v>3572</v>
      </c>
      <c r="BA64" s="215"/>
      <c r="BC64" s="34"/>
      <c r="BE64" s="214"/>
      <c r="BF64" s="213"/>
      <c r="BG64" s="34"/>
    </row>
    <row r="65" spans="13:59" ht="18" customHeight="1" x14ac:dyDescent="0.25">
      <c r="M65" s="243" t="str">
        <f>Master_Input!B64</f>
        <v>Green Waste</v>
      </c>
      <c r="N65" s="123" t="str">
        <f>Master_Input!C64</f>
        <v>tons</v>
      </c>
      <c r="O65" s="190">
        <f>Master_Input!D64</f>
        <v>0</v>
      </c>
      <c r="BA65" s="215"/>
      <c r="BC65" s="34"/>
      <c r="BE65" s="214"/>
      <c r="BF65" s="213"/>
      <c r="BG65" s="34"/>
    </row>
    <row r="66" spans="13:59" ht="18" customHeight="1" x14ac:dyDescent="0.25">
      <c r="M66" s="243" t="str">
        <f>Master_Input!B65</f>
        <v>Others</v>
      </c>
      <c r="N66" s="123" t="str">
        <f>Master_Input!C65</f>
        <v>tons</v>
      </c>
      <c r="O66" s="190">
        <f>Master_Input!D65</f>
        <v>966</v>
      </c>
      <c r="BA66" s="215"/>
      <c r="BC66" s="34"/>
      <c r="BE66" s="214"/>
      <c r="BF66" s="213"/>
      <c r="BG66" s="34"/>
    </row>
    <row r="67" spans="13:59" ht="18" customHeight="1" x14ac:dyDescent="0.25">
      <c r="M67" s="242" t="str">
        <f>Master_Input!B70</f>
        <v>Non-Domestic Waste Generators</v>
      </c>
      <c r="N67" s="123"/>
      <c r="O67" s="190"/>
      <c r="BA67" s="215"/>
      <c r="BC67" s="34"/>
      <c r="BE67" s="214"/>
      <c r="BF67" s="213"/>
      <c r="BG67" s="34"/>
    </row>
    <row r="68" spans="13:59" ht="18" customHeight="1" x14ac:dyDescent="0.25">
      <c r="M68" s="243" t="str">
        <f>Master_Input!B71</f>
        <v xml:space="preserve"> Hotels and other Accommodations</v>
      </c>
      <c r="N68" s="123" t="str">
        <f>Master_Input!C71</f>
        <v>no</v>
      </c>
      <c r="O68" s="190">
        <f>Master_Input!D71</f>
        <v>3491</v>
      </c>
      <c r="BA68" s="215"/>
      <c r="BC68" s="34"/>
      <c r="BE68" s="214"/>
      <c r="BF68" s="213"/>
      <c r="BG68" s="34"/>
    </row>
    <row r="69" spans="13:59" ht="18" customHeight="1" x14ac:dyDescent="0.25">
      <c r="M69" s="243" t="str">
        <f>Master_Input!B72</f>
        <v xml:space="preserve">Restaurants </v>
      </c>
      <c r="N69" s="123" t="str">
        <f>Master_Input!C72</f>
        <v>no</v>
      </c>
      <c r="O69" s="190">
        <f>Master_Input!D72</f>
        <v>2620</v>
      </c>
      <c r="BA69" s="215"/>
      <c r="BC69" s="34"/>
      <c r="BE69" s="214"/>
      <c r="BF69" s="213"/>
      <c r="BG69" s="34"/>
    </row>
    <row r="70" spans="13:59" ht="18" customHeight="1" x14ac:dyDescent="0.25">
      <c r="M70" s="243" t="str">
        <f>Master_Input!B73</f>
        <v>Shops and Supermarkets</v>
      </c>
      <c r="N70" s="123" t="str">
        <f>Master_Input!C73</f>
        <v>no</v>
      </c>
      <c r="O70" s="190">
        <f>Master_Input!D73</f>
        <v>633</v>
      </c>
      <c r="BA70" s="215"/>
      <c r="BC70" s="34"/>
      <c r="BE70" s="214"/>
      <c r="BF70" s="213"/>
      <c r="BG70" s="34"/>
    </row>
    <row r="71" spans="13:59" ht="18" customHeight="1" x14ac:dyDescent="0.25">
      <c r="M71" s="243" t="str">
        <f>Master_Input!B74</f>
        <v>Private Offices</v>
      </c>
      <c r="N71" s="123" t="str">
        <f>Master_Input!C74</f>
        <v>no</v>
      </c>
      <c r="O71" s="190">
        <f>Master_Input!D74</f>
        <v>0</v>
      </c>
      <c r="BA71" s="215"/>
      <c r="BC71" s="34"/>
      <c r="BE71" s="214"/>
      <c r="BF71" s="213"/>
      <c r="BG71" s="34"/>
    </row>
    <row r="72" spans="13:59" ht="18" customHeight="1" x14ac:dyDescent="0.25">
      <c r="M72" s="243" t="str">
        <f>Master_Input!B75</f>
        <v>Institutions</v>
      </c>
      <c r="N72" s="123" t="str">
        <f>Master_Input!C75</f>
        <v>no</v>
      </c>
      <c r="O72" s="190">
        <f>Master_Input!D75</f>
        <v>0</v>
      </c>
      <c r="BA72" s="215"/>
      <c r="BC72" s="34"/>
      <c r="BE72" s="214"/>
      <c r="BF72" s="213"/>
      <c r="BG72" s="34"/>
    </row>
    <row r="73" spans="13:59" ht="18" customHeight="1" x14ac:dyDescent="0.25">
      <c r="M73" s="243" t="str">
        <f>Master_Input!B76</f>
        <v>Others</v>
      </c>
      <c r="N73" s="123" t="str">
        <f>Master_Input!C76</f>
        <v>no</v>
      </c>
      <c r="O73" s="190">
        <f>Master_Input!D76</f>
        <v>0</v>
      </c>
      <c r="BA73" s="215"/>
      <c r="BC73" s="34"/>
      <c r="BE73" s="214"/>
      <c r="BF73" s="213"/>
      <c r="BG73" s="34"/>
    </row>
    <row r="74" spans="13:59" ht="18" customHeight="1" x14ac:dyDescent="0.25">
      <c r="M74" s="241" t="str">
        <f>Master_Input!B77</f>
        <v>Total Compost Processed</v>
      </c>
      <c r="N74" s="123" t="str">
        <f>Master_Input!C77</f>
        <v>tons</v>
      </c>
      <c r="O74" s="190">
        <f>Master_Input!D77</f>
        <v>0</v>
      </c>
      <c r="BA74" s="215"/>
      <c r="BC74" s="34"/>
      <c r="BE74" s="214"/>
      <c r="BF74" s="213"/>
      <c r="BG74" s="34"/>
    </row>
    <row r="75" spans="13:59" ht="18" customHeight="1" x14ac:dyDescent="0.25">
      <c r="M75" s="241" t="str">
        <f>Master_Input!B78</f>
        <v>Total Recyclables Collected</v>
      </c>
      <c r="N75" s="123" t="str">
        <f>Master_Input!C78</f>
        <v>tons</v>
      </c>
      <c r="O75" s="190">
        <f>Master_Input!D78</f>
        <v>0</v>
      </c>
      <c r="BA75" s="215"/>
      <c r="BC75" s="34"/>
      <c r="BE75" s="214"/>
      <c r="BF75" s="213"/>
      <c r="BG75" s="34"/>
    </row>
    <row r="76" spans="13:59" ht="18" customHeight="1" x14ac:dyDescent="0.25">
      <c r="M76" s="241" t="str">
        <f>Master_Input!B79</f>
        <v>Total Bins</v>
      </c>
      <c r="N76" s="123" t="str">
        <f>Master_Input!C79</f>
        <v>no</v>
      </c>
      <c r="O76" s="190">
        <f>Master_Input!D79</f>
        <v>0</v>
      </c>
      <c r="BA76" s="215"/>
      <c r="BC76" s="34"/>
      <c r="BE76" s="214"/>
      <c r="BF76" s="213"/>
      <c r="BG76" s="34"/>
    </row>
    <row r="77" spans="13:59" ht="18" customHeight="1" x14ac:dyDescent="0.25">
      <c r="M77" s="241" t="str">
        <f>Master_Input!B80</f>
        <v>Total Illegal Dumpsites</v>
      </c>
      <c r="N77" s="123" t="str">
        <f>Master_Input!C80</f>
        <v>no</v>
      </c>
      <c r="O77" s="190">
        <f>Master_Input!D80</f>
        <v>0</v>
      </c>
      <c r="BA77" s="215"/>
      <c r="BC77" s="34"/>
      <c r="BE77" s="214"/>
      <c r="BF77" s="213"/>
      <c r="BG77" s="34"/>
    </row>
    <row r="78" spans="13:59" ht="18" customHeight="1" x14ac:dyDescent="0.25">
      <c r="M78" s="241" t="str">
        <f>Master_Input!B81</f>
        <v>Number of Informal Settlements</v>
      </c>
      <c r="N78" s="123" t="str">
        <f>Master_Input!C81</f>
        <v>no.</v>
      </c>
      <c r="O78" s="190">
        <f>Master_Input!D81</f>
        <v>0</v>
      </c>
      <c r="BA78" s="215"/>
      <c r="BC78" s="34"/>
      <c r="BE78" s="214"/>
      <c r="BF78" s="213"/>
      <c r="BG78" s="34"/>
    </row>
    <row r="79" spans="13:59" ht="18" customHeight="1" x14ac:dyDescent="0.25">
      <c r="M79" s="241" t="str">
        <f>Master_Input!B82</f>
        <v>Number of Informal Settlements</v>
      </c>
      <c r="N79" s="123" t="str">
        <f>Master_Input!C82</f>
        <v>no.</v>
      </c>
      <c r="O79" s="190">
        <f>Master_Input!D82</f>
        <v>0</v>
      </c>
      <c r="BA79" s="215"/>
      <c r="BC79" s="34"/>
      <c r="BE79" s="214"/>
      <c r="BF79" s="213"/>
      <c r="BG79" s="34"/>
    </row>
    <row r="80" spans="13:59" ht="18" customHeight="1" x14ac:dyDescent="0.25">
      <c r="M80" s="239"/>
      <c r="N80" s="238"/>
      <c r="O80" s="240"/>
      <c r="BA80" s="215"/>
      <c r="BC80" s="34"/>
      <c r="BE80" s="214"/>
      <c r="BF80" s="213"/>
      <c r="BG80" s="34"/>
    </row>
    <row r="81" spans="13:59" ht="18" customHeight="1" x14ac:dyDescent="0.25">
      <c r="M81" s="239"/>
      <c r="N81" s="238"/>
      <c r="O81" s="240"/>
      <c r="BA81" s="215"/>
      <c r="BC81" s="34"/>
      <c r="BE81" s="214"/>
      <c r="BF81" s="213"/>
      <c r="BG81" s="34"/>
    </row>
    <row r="82" spans="13:59" ht="18" customHeight="1" x14ac:dyDescent="0.25">
      <c r="M82" s="239"/>
      <c r="N82" s="238"/>
      <c r="O82" s="240"/>
      <c r="BA82" s="215"/>
      <c r="BC82" s="34"/>
      <c r="BE82" s="214"/>
      <c r="BF82" s="213"/>
      <c r="BG82" s="34"/>
    </row>
    <row r="83" spans="13:59" ht="18" customHeight="1" x14ac:dyDescent="0.25">
      <c r="M83" s="239"/>
      <c r="N83" s="238"/>
      <c r="O83" s="240"/>
      <c r="BA83" s="215"/>
      <c r="BC83" s="34"/>
      <c r="BE83" s="214"/>
      <c r="BF83" s="213"/>
      <c r="BG83" s="34"/>
    </row>
    <row r="84" spans="13:59" ht="18" customHeight="1" x14ac:dyDescent="0.25">
      <c r="M84" s="239"/>
      <c r="N84" s="238"/>
      <c r="O84" s="240"/>
      <c r="BA84" s="215"/>
      <c r="BC84" s="34"/>
      <c r="BE84" s="214"/>
      <c r="BF84" s="213"/>
      <c r="BG84" s="34"/>
    </row>
    <row r="85" spans="13:59" ht="18" customHeight="1" x14ac:dyDescent="0.25">
      <c r="M85" s="239"/>
      <c r="N85" s="238"/>
      <c r="O85" s="240"/>
      <c r="BA85" s="215"/>
      <c r="BC85" s="34"/>
      <c r="BE85" s="214"/>
      <c r="BF85" s="213"/>
      <c r="BG85" s="34"/>
    </row>
    <row r="86" spans="13:59" ht="18" customHeight="1" x14ac:dyDescent="0.25">
      <c r="M86" s="239"/>
      <c r="N86" s="238"/>
      <c r="O86" s="240"/>
      <c r="BA86" s="215"/>
      <c r="BC86" s="34"/>
      <c r="BE86" s="214"/>
      <c r="BF86" s="213"/>
      <c r="BG86" s="34"/>
    </row>
    <row r="87" spans="13:59" ht="18" customHeight="1" x14ac:dyDescent="0.25">
      <c r="M87" s="239"/>
      <c r="N87" s="238"/>
      <c r="O87" s="240"/>
      <c r="BA87" s="215"/>
      <c r="BC87" s="34"/>
      <c r="BE87" s="214"/>
      <c r="BF87" s="213"/>
      <c r="BG87" s="34"/>
    </row>
    <row r="88" spans="13:59" ht="18" customHeight="1" x14ac:dyDescent="0.25">
      <c r="M88" s="239"/>
      <c r="N88" s="238"/>
      <c r="O88" s="240"/>
      <c r="BA88" s="215"/>
      <c r="BC88" s="34"/>
      <c r="BE88" s="214"/>
      <c r="BF88" s="213"/>
      <c r="BG88" s="34"/>
    </row>
    <row r="89" spans="13:59" ht="18" customHeight="1" x14ac:dyDescent="0.25">
      <c r="M89" s="239"/>
      <c r="N89" s="238"/>
      <c r="O89" s="240"/>
      <c r="BA89" s="215"/>
      <c r="BC89" s="34"/>
      <c r="BE89" s="214"/>
      <c r="BF89" s="213"/>
      <c r="BG89" s="34"/>
    </row>
    <row r="90" spans="13:59" ht="18" customHeight="1" x14ac:dyDescent="0.25">
      <c r="M90" s="239"/>
      <c r="N90" s="238"/>
      <c r="O90" s="240"/>
      <c r="BA90" s="215"/>
      <c r="BC90" s="34"/>
      <c r="BE90" s="214"/>
      <c r="BF90" s="213"/>
      <c r="BG90" s="34"/>
    </row>
    <row r="91" spans="13:59" ht="18" customHeight="1" x14ac:dyDescent="0.25">
      <c r="M91" s="239"/>
      <c r="N91" s="238"/>
      <c r="O91" s="240"/>
      <c r="BA91" s="215"/>
      <c r="BC91" s="34"/>
      <c r="BE91" s="214"/>
      <c r="BF91" s="213"/>
      <c r="BG91" s="34"/>
    </row>
    <row r="92" spans="13:59" ht="18" customHeight="1" x14ac:dyDescent="0.25">
      <c r="M92" s="239"/>
      <c r="N92" s="238"/>
      <c r="O92" s="240"/>
      <c r="BA92" s="215"/>
      <c r="BC92" s="34"/>
      <c r="BE92" s="214"/>
      <c r="BF92" s="213"/>
      <c r="BG92" s="34"/>
    </row>
    <row r="93" spans="13:59" ht="18" customHeight="1" x14ac:dyDescent="0.25">
      <c r="M93" s="239"/>
      <c r="N93" s="238"/>
      <c r="O93" s="240"/>
      <c r="BA93" s="215"/>
      <c r="BC93" s="34"/>
      <c r="BE93" s="214"/>
      <c r="BF93" s="213"/>
      <c r="BG93" s="34"/>
    </row>
    <row r="94" spans="13:59" ht="18" customHeight="1" x14ac:dyDescent="0.25">
      <c r="M94" s="239"/>
      <c r="N94" s="238"/>
      <c r="O94" s="240"/>
      <c r="BA94" s="215"/>
      <c r="BC94" s="34"/>
      <c r="BE94" s="214"/>
      <c r="BF94" s="213"/>
      <c r="BG94" s="34"/>
    </row>
    <row r="95" spans="13:59" ht="18" customHeight="1" x14ac:dyDescent="0.25">
      <c r="M95" s="239"/>
      <c r="N95" s="238"/>
      <c r="O95" s="240"/>
      <c r="BA95" s="215"/>
      <c r="BC95" s="34"/>
      <c r="BE95" s="214"/>
      <c r="BF95" s="213"/>
      <c r="BG95" s="34"/>
    </row>
    <row r="96" spans="13:59" ht="18" customHeight="1" x14ac:dyDescent="0.25">
      <c r="M96" s="239"/>
      <c r="N96" s="238"/>
      <c r="O96" s="240"/>
      <c r="BA96" s="215"/>
      <c r="BC96" s="34"/>
      <c r="BE96" s="214"/>
      <c r="BF96" s="213"/>
      <c r="BG96" s="34"/>
    </row>
    <row r="97" spans="13:59" ht="18" customHeight="1" x14ac:dyDescent="0.25">
      <c r="M97" s="239"/>
      <c r="N97" s="238"/>
      <c r="O97" s="240"/>
      <c r="BA97" s="215"/>
      <c r="BC97" s="34"/>
      <c r="BE97" s="214"/>
      <c r="BF97" s="213"/>
      <c r="BG97" s="34"/>
    </row>
    <row r="98" spans="13:59" ht="18" customHeight="1" x14ac:dyDescent="0.25">
      <c r="M98" s="239"/>
      <c r="N98" s="238"/>
      <c r="O98" s="240"/>
      <c r="BA98" s="215"/>
      <c r="BC98" s="34"/>
      <c r="BE98" s="214"/>
      <c r="BF98" s="213"/>
      <c r="BG98" s="34"/>
    </row>
    <row r="99" spans="13:59" ht="18" customHeight="1" x14ac:dyDescent="0.25">
      <c r="M99" s="239"/>
      <c r="N99" s="238"/>
      <c r="O99" s="240"/>
      <c r="BA99" s="215"/>
      <c r="BC99" s="34"/>
      <c r="BE99" s="214"/>
      <c r="BF99" s="213"/>
      <c r="BG99" s="34"/>
    </row>
    <row r="100" spans="13:59" ht="18" customHeight="1" x14ac:dyDescent="0.25">
      <c r="M100" s="239"/>
      <c r="N100" s="238"/>
      <c r="O100" s="240"/>
      <c r="BA100" s="215"/>
      <c r="BC100" s="34"/>
      <c r="BE100" s="214"/>
      <c r="BF100" s="213"/>
      <c r="BG100" s="34"/>
    </row>
    <row r="101" spans="13:59" ht="18" customHeight="1" x14ac:dyDescent="0.25">
      <c r="M101" s="239"/>
      <c r="N101" s="238"/>
      <c r="O101" s="240"/>
      <c r="BA101" s="215"/>
      <c r="BC101" s="34"/>
      <c r="BE101" s="214"/>
      <c r="BF101" s="213"/>
      <c r="BG101" s="34"/>
    </row>
    <row r="102" spans="13:59" ht="18" customHeight="1" x14ac:dyDescent="0.25">
      <c r="M102" s="239"/>
      <c r="N102" s="238"/>
      <c r="O102" s="240"/>
      <c r="BA102" s="215"/>
      <c r="BC102" s="34"/>
      <c r="BE102" s="214"/>
      <c r="BF102" s="213"/>
      <c r="BG102" s="34"/>
    </row>
    <row r="103" spans="13:59" ht="18" customHeight="1" x14ac:dyDescent="0.25">
      <c r="M103" s="239"/>
      <c r="N103" s="238"/>
      <c r="O103" s="240"/>
      <c r="BA103" s="215"/>
      <c r="BC103" s="34"/>
      <c r="BE103" s="214"/>
      <c r="BF103" s="213"/>
      <c r="BG103" s="34"/>
    </row>
  </sheetData>
  <dataConsolidate/>
  <mergeCells count="12">
    <mergeCell ref="B31:D32"/>
    <mergeCell ref="B2:G2"/>
    <mergeCell ref="N12:O12"/>
    <mergeCell ref="N13:O13"/>
    <mergeCell ref="N14:O14"/>
    <mergeCell ref="N18:O18"/>
    <mergeCell ref="N19:O19"/>
    <mergeCell ref="N20:O20"/>
    <mergeCell ref="N15:O15"/>
    <mergeCell ref="G31:I32"/>
    <mergeCell ref="M23:O23"/>
    <mergeCell ref="M31:O32"/>
  </mergeCells>
  <phoneticPr fontId="10" type="noConversion"/>
  <dataValidations count="1">
    <dataValidation type="custom" allowBlank="1" showInputMessage="1" showErrorMessage="1" sqref="G35:G39" xr:uid="{DAF7CBF6-B79A-4068-BF3B-8B523FF58D98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29" r:id="rId3" name="Button 21">
              <controlPr defaultSize="0" print="0" autoFill="0" autoPict="0" macro="[0]!Refresher">
                <anchor moveWithCells="1" sizeWithCells="1">
                  <from>
                    <xdr:col>6</xdr:col>
                    <xdr:colOff>2933700</xdr:colOff>
                    <xdr:row>1</xdr:row>
                    <xdr:rowOff>152400</xdr:rowOff>
                  </from>
                  <to>
                    <xdr:col>7</xdr:col>
                    <xdr:colOff>1685925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4" name="Button 26">
              <controlPr defaultSize="0" print="0" autoFill="0" autoPict="0" macro="[0]!CreateDirtySheet">
                <anchor moveWithCells="1">
                  <from>
                    <xdr:col>8</xdr:col>
                    <xdr:colOff>304800</xdr:colOff>
                    <xdr:row>1</xdr:row>
                    <xdr:rowOff>142875</xdr:rowOff>
                  </from>
                  <to>
                    <xdr:col>11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F8703-9B58-4C20-82E8-462A5B891A46}">
  <sheetPr codeName="Sheet11">
    <tabColor theme="9" tint="-0.249977111117893"/>
  </sheetPr>
  <dimension ref="B1:AG120"/>
  <sheetViews>
    <sheetView showGridLines="0" zoomScale="85" zoomScaleNormal="85" workbookViewId="0">
      <pane ySplit="6" topLeftCell="A7" activePane="bottomLeft" state="frozen"/>
      <selection pane="bottomLeft" activeCell="D3" sqref="D3"/>
    </sheetView>
  </sheetViews>
  <sheetFormatPr defaultColWidth="21" defaultRowHeight="18.75" customHeight="1" x14ac:dyDescent="0.25"/>
  <cols>
    <col min="1" max="1" width="7.5703125" style="18" customWidth="1"/>
    <col min="2" max="2" width="15.140625" style="18" customWidth="1"/>
    <col min="3" max="3" width="7" style="15" customWidth="1"/>
    <col min="4" max="4" width="51.140625" style="18" customWidth="1"/>
    <col min="5" max="5" width="21.28515625" style="18" customWidth="1"/>
    <col min="6" max="6" width="25.140625" style="18" customWidth="1"/>
    <col min="7" max="7" width="24.5703125" style="18" customWidth="1"/>
    <col min="8" max="8" width="38.7109375" style="18" customWidth="1"/>
    <col min="9" max="9" width="29.42578125" style="18" customWidth="1"/>
    <col min="10" max="10" width="23" style="18" customWidth="1"/>
    <col min="11" max="16384" width="21" style="18"/>
  </cols>
  <sheetData>
    <row r="1" spans="2:33" s="26" customFormat="1" ht="18.75" customHeight="1" x14ac:dyDescent="0.25">
      <c r="B1" s="281" t="s">
        <v>42</v>
      </c>
      <c r="C1" s="281"/>
      <c r="D1" s="281"/>
      <c r="E1" s="130"/>
      <c r="G1" s="131"/>
      <c r="H1" s="25"/>
      <c r="I1" s="25"/>
      <c r="J1" s="25"/>
      <c r="K1" s="25"/>
      <c r="L1" s="25"/>
      <c r="AG1" s="132" t="s">
        <v>72</v>
      </c>
    </row>
    <row r="2" spans="2:33" s="26" customFormat="1" ht="18.75" customHeight="1" x14ac:dyDescent="0.25">
      <c r="B2" s="286" t="s">
        <v>0</v>
      </c>
      <c r="C2" s="286"/>
      <c r="D2" s="133" t="str">
        <f>Master_Input!C6</f>
        <v>2023-2024</v>
      </c>
      <c r="E2" s="134"/>
      <c r="G2" s="131"/>
      <c r="AG2" s="132" t="s">
        <v>72</v>
      </c>
    </row>
    <row r="3" spans="2:33" s="27" customFormat="1" ht="18.75" customHeight="1" x14ac:dyDescent="0.25">
      <c r="B3" s="286" t="s">
        <v>27</v>
      </c>
      <c r="C3" s="286"/>
      <c r="D3" s="133" t="str">
        <f>Master_Input!C7</f>
        <v>FJD</v>
      </c>
    </row>
    <row r="5" spans="2:33" ht="15.75" customHeight="1" x14ac:dyDescent="0.25">
      <c r="B5" s="135"/>
    </row>
    <row r="6" spans="2:33" ht="29.25" customHeight="1" x14ac:dyDescent="0.25">
      <c r="B6" s="169" t="s">
        <v>1</v>
      </c>
      <c r="C6" s="170" t="s">
        <v>104</v>
      </c>
      <c r="D6" s="171" t="s">
        <v>2</v>
      </c>
      <c r="E6" s="169" t="s">
        <v>123</v>
      </c>
      <c r="F6" s="169" t="s">
        <v>301</v>
      </c>
      <c r="G6" s="169" t="s">
        <v>300</v>
      </c>
      <c r="H6" s="169" t="s">
        <v>12</v>
      </c>
      <c r="I6" s="169" t="s">
        <v>121</v>
      </c>
      <c r="J6" s="169" t="s">
        <v>122</v>
      </c>
      <c r="K6" s="169" t="s">
        <v>10</v>
      </c>
    </row>
    <row r="7" spans="2:33" s="20" customFormat="1" ht="18.75" customHeight="1" x14ac:dyDescent="0.25">
      <c r="B7" s="36"/>
      <c r="C7" s="126">
        <v>1</v>
      </c>
      <c r="D7" s="137" t="s">
        <v>102</v>
      </c>
      <c r="E7" s="36"/>
      <c r="F7" s="36"/>
      <c r="G7" s="36"/>
      <c r="H7" s="36"/>
      <c r="I7" s="36"/>
      <c r="J7" s="36"/>
      <c r="K7" s="36"/>
    </row>
    <row r="8" spans="2:33" s="20" customFormat="1" ht="18.75" customHeight="1" x14ac:dyDescent="0.25">
      <c r="B8" s="36"/>
      <c r="C8" s="123"/>
      <c r="D8" s="185"/>
      <c r="E8" s="36"/>
      <c r="F8" s="36"/>
      <c r="G8" s="36"/>
      <c r="H8" s="36"/>
      <c r="I8" s="36"/>
      <c r="J8" s="36">
        <v>100000</v>
      </c>
      <c r="K8" s="36"/>
    </row>
    <row r="9" spans="2:33" s="20" customFormat="1" ht="18.75" customHeight="1" x14ac:dyDescent="0.25">
      <c r="B9" s="36"/>
      <c r="C9" s="123"/>
      <c r="D9" s="36"/>
      <c r="E9" s="36"/>
      <c r="F9" s="36"/>
      <c r="G9" s="36"/>
      <c r="H9" s="36"/>
      <c r="I9" s="36"/>
      <c r="J9" s="36"/>
      <c r="K9" s="36"/>
    </row>
    <row r="10" spans="2:33" ht="18.75" customHeight="1" x14ac:dyDescent="0.25">
      <c r="B10" s="111"/>
      <c r="C10" s="124"/>
      <c r="D10" s="136"/>
      <c r="E10" s="111"/>
      <c r="F10" s="111"/>
      <c r="G10" s="111"/>
      <c r="H10" s="111"/>
      <c r="I10" s="111">
        <f>SUBTOTAL(109,tblA[Target for FY])</f>
        <v>0</v>
      </c>
      <c r="J10" s="111">
        <f>SUBTOTAL(109,tblA[[Actual Collections for FY ]])</f>
        <v>100000</v>
      </c>
      <c r="K10" s="111"/>
    </row>
    <row r="11" spans="2:33" ht="18.75" hidden="1" customHeight="1" x14ac:dyDescent="0.25">
      <c r="B11" s="19" t="s">
        <v>1</v>
      </c>
      <c r="C11" s="125" t="s">
        <v>104</v>
      </c>
      <c r="D11" s="19" t="s">
        <v>2</v>
      </c>
      <c r="E11" s="19" t="s">
        <v>123</v>
      </c>
      <c r="F11" s="19" t="s">
        <v>44</v>
      </c>
      <c r="G11" s="19" t="s">
        <v>103</v>
      </c>
      <c r="H11" s="19" t="s">
        <v>12</v>
      </c>
      <c r="I11" s="19" t="s">
        <v>101</v>
      </c>
      <c r="J11" s="19" t="s">
        <v>45</v>
      </c>
      <c r="K11" s="19" t="s">
        <v>10</v>
      </c>
    </row>
    <row r="12" spans="2:33" s="36" customFormat="1" ht="18.75" customHeight="1" x14ac:dyDescent="0.25">
      <c r="C12" s="126">
        <v>2</v>
      </c>
      <c r="D12" s="137" t="s">
        <v>125</v>
      </c>
    </row>
    <row r="13" spans="2:33" s="36" customFormat="1" ht="18.75" customHeight="1" x14ac:dyDescent="0.25">
      <c r="C13" s="123"/>
      <c r="D13" s="185"/>
      <c r="J13" s="36">
        <v>50</v>
      </c>
    </row>
    <row r="14" spans="2:33" s="36" customFormat="1" ht="18.75" customHeight="1" x14ac:dyDescent="0.25">
      <c r="C14" s="123"/>
      <c r="D14" s="185"/>
    </row>
    <row r="15" spans="2:33" s="36" customFormat="1" ht="18.75" customHeight="1" x14ac:dyDescent="0.25">
      <c r="C15" s="123"/>
    </row>
    <row r="16" spans="2:33" s="36" customFormat="1" ht="18.75" customHeight="1" x14ac:dyDescent="0.25">
      <c r="C16" s="123"/>
    </row>
    <row r="17" spans="2:11" ht="18.75" customHeight="1" x14ac:dyDescent="0.25">
      <c r="B17" s="111"/>
      <c r="C17" s="124"/>
      <c r="D17" s="136"/>
      <c r="E17" s="111"/>
      <c r="F17" s="111"/>
      <c r="G17" s="111"/>
      <c r="H17" s="111"/>
      <c r="I17" s="111">
        <f>SUBTOTAL(109,tblB[Target for FY (FJD)])</f>
        <v>0</v>
      </c>
      <c r="J17" s="111">
        <f>SUBTOTAL(109,tblB[Actual Collections for FY (FJD)])</f>
        <v>50</v>
      </c>
      <c r="K17" s="111"/>
    </row>
    <row r="18" spans="2:11" ht="18.75" hidden="1" customHeight="1" x14ac:dyDescent="0.25">
      <c r="B18" s="19" t="s">
        <v>1</v>
      </c>
      <c r="C18" s="125" t="s">
        <v>104</v>
      </c>
      <c r="D18" s="19" t="s">
        <v>2</v>
      </c>
      <c r="E18" s="19" t="s">
        <v>123</v>
      </c>
      <c r="F18" s="19" t="s">
        <v>44</v>
      </c>
      <c r="G18" s="19" t="s">
        <v>103</v>
      </c>
      <c r="H18" s="19" t="s">
        <v>12</v>
      </c>
      <c r="I18" s="19" t="s">
        <v>101</v>
      </c>
      <c r="J18" s="19" t="s">
        <v>45</v>
      </c>
      <c r="K18" s="19" t="s">
        <v>10</v>
      </c>
    </row>
    <row r="19" spans="2:11" ht="18.75" customHeight="1" x14ac:dyDescent="0.25">
      <c r="B19" s="36"/>
      <c r="C19" s="126">
        <v>3</v>
      </c>
      <c r="D19" s="137" t="s">
        <v>105</v>
      </c>
      <c r="E19" s="36"/>
      <c r="F19" s="36"/>
      <c r="G19" s="36"/>
      <c r="H19" s="36"/>
      <c r="I19" s="36"/>
      <c r="J19" s="36"/>
      <c r="K19" s="36"/>
    </row>
    <row r="20" spans="2:11" ht="18.75" customHeight="1" x14ac:dyDescent="0.25">
      <c r="B20" s="36"/>
      <c r="C20" s="123"/>
      <c r="D20" s="36"/>
      <c r="E20" s="36"/>
      <c r="F20" s="36"/>
      <c r="G20" s="36"/>
      <c r="H20" s="36"/>
      <c r="I20" s="36"/>
      <c r="J20" s="36"/>
      <c r="K20" s="36"/>
    </row>
    <row r="21" spans="2:11" ht="18.75" customHeight="1" x14ac:dyDescent="0.25">
      <c r="B21" s="36"/>
      <c r="C21" s="123"/>
      <c r="D21" s="36"/>
      <c r="E21" s="36"/>
      <c r="F21" s="36"/>
      <c r="G21" s="36"/>
      <c r="H21" s="36"/>
      <c r="I21" s="36"/>
      <c r="J21" s="36"/>
      <c r="K21" s="36"/>
    </row>
    <row r="22" spans="2:11" ht="18.75" customHeight="1" x14ac:dyDescent="0.25">
      <c r="B22" s="36"/>
      <c r="C22" s="123"/>
      <c r="D22" s="36"/>
      <c r="E22" s="36"/>
      <c r="F22" s="36"/>
      <c r="G22" s="36"/>
      <c r="H22" s="36"/>
      <c r="I22" s="36"/>
      <c r="J22" s="36"/>
      <c r="K22" s="36"/>
    </row>
    <row r="23" spans="2:11" ht="18.75" customHeight="1" x14ac:dyDescent="0.25">
      <c r="B23" s="36"/>
      <c r="C23" s="123"/>
      <c r="D23" s="36"/>
      <c r="E23" s="36"/>
      <c r="F23" s="36"/>
      <c r="G23" s="36"/>
      <c r="H23" s="36"/>
      <c r="I23" s="36"/>
      <c r="J23" s="36"/>
      <c r="K23" s="36"/>
    </row>
    <row r="24" spans="2:11" ht="18.75" customHeight="1" x14ac:dyDescent="0.25">
      <c r="B24" s="36"/>
      <c r="C24" s="123"/>
      <c r="D24" s="36"/>
      <c r="E24" s="36"/>
      <c r="F24" s="36"/>
      <c r="G24" s="36"/>
      <c r="H24" s="36"/>
      <c r="I24" s="36"/>
      <c r="J24" s="36"/>
      <c r="K24" s="36"/>
    </row>
    <row r="25" spans="2:11" ht="18.75" customHeight="1" x14ac:dyDescent="0.25">
      <c r="B25" s="111"/>
      <c r="C25" s="124"/>
      <c r="D25" s="136"/>
      <c r="E25" s="111"/>
      <c r="F25" s="111"/>
      <c r="G25" s="111"/>
      <c r="H25" s="111"/>
      <c r="I25" s="111">
        <f>SUBTOTAL(109,tblC[Target for FY (FJD)])</f>
        <v>0</v>
      </c>
      <c r="J25" s="111">
        <f>SUBTOTAL(109,tblC[Actual Collections for FY (FJD)])</f>
        <v>0</v>
      </c>
      <c r="K25" s="111"/>
    </row>
    <row r="26" spans="2:11" ht="18.75" hidden="1" customHeight="1" x14ac:dyDescent="0.25">
      <c r="B26" s="19" t="s">
        <v>1</v>
      </c>
      <c r="C26" s="125" t="s">
        <v>104</v>
      </c>
      <c r="D26" s="19" t="s">
        <v>2</v>
      </c>
      <c r="E26" s="19" t="s">
        <v>123</v>
      </c>
      <c r="F26" s="19" t="s">
        <v>44</v>
      </c>
      <c r="G26" s="19" t="s">
        <v>103</v>
      </c>
      <c r="H26" s="19" t="s">
        <v>12</v>
      </c>
      <c r="I26" s="19" t="s">
        <v>101</v>
      </c>
      <c r="J26" s="19" t="s">
        <v>45</v>
      </c>
      <c r="K26" s="19" t="s">
        <v>10</v>
      </c>
    </row>
    <row r="27" spans="2:11" s="20" customFormat="1" ht="18.75" customHeight="1" x14ac:dyDescent="0.25">
      <c r="B27" s="36"/>
      <c r="C27" s="126">
        <v>4</v>
      </c>
      <c r="D27" s="137" t="s">
        <v>253</v>
      </c>
      <c r="E27" s="36"/>
      <c r="F27" s="36"/>
      <c r="G27" s="36"/>
      <c r="H27" s="36"/>
      <c r="I27" s="36"/>
      <c r="J27" s="36"/>
      <c r="K27" s="36"/>
    </row>
    <row r="28" spans="2:11" s="20" customFormat="1" ht="18.75" customHeight="1" x14ac:dyDescent="0.25">
      <c r="B28" s="36"/>
      <c r="C28" s="123"/>
      <c r="D28" s="36"/>
      <c r="E28" s="36"/>
      <c r="F28" s="36"/>
      <c r="G28" s="36"/>
      <c r="H28" s="36"/>
      <c r="I28" s="36"/>
      <c r="J28" s="36">
        <v>20000</v>
      </c>
      <c r="K28" s="36"/>
    </row>
    <row r="29" spans="2:11" s="20" customFormat="1" ht="18.75" customHeight="1" x14ac:dyDescent="0.25">
      <c r="B29" s="36"/>
      <c r="C29" s="123"/>
      <c r="D29" s="36"/>
      <c r="E29" s="36"/>
      <c r="F29" s="36"/>
      <c r="G29" s="36"/>
      <c r="H29" s="36"/>
      <c r="I29" s="36"/>
      <c r="J29" s="36"/>
      <c r="K29" s="36"/>
    </row>
    <row r="30" spans="2:11" ht="18.75" customHeight="1" x14ac:dyDescent="0.25">
      <c r="B30" s="111"/>
      <c r="C30" s="124"/>
      <c r="D30" s="136"/>
      <c r="E30" s="111"/>
      <c r="F30" s="111"/>
      <c r="G30" s="111"/>
      <c r="H30" s="111"/>
      <c r="I30" s="111">
        <f>SUBTOTAL(109,tblD[Target for FY (FJD)])</f>
        <v>0</v>
      </c>
      <c r="J30" s="111">
        <f>SUBTOTAL(109,tblD[Actual Collections for FY (FJD)])</f>
        <v>20000</v>
      </c>
      <c r="K30" s="111"/>
    </row>
    <row r="31" spans="2:11" ht="18.75" hidden="1" customHeight="1" x14ac:dyDescent="0.25">
      <c r="B31" s="19" t="s">
        <v>1</v>
      </c>
      <c r="C31" s="125" t="s">
        <v>104</v>
      </c>
      <c r="D31" s="19" t="s">
        <v>2</v>
      </c>
      <c r="E31" s="19" t="s">
        <v>123</v>
      </c>
      <c r="F31" s="19" t="s">
        <v>44</v>
      </c>
      <c r="G31" s="19" t="s">
        <v>103</v>
      </c>
      <c r="H31" s="19" t="s">
        <v>12</v>
      </c>
      <c r="I31" s="19" t="s">
        <v>101</v>
      </c>
      <c r="J31" s="19" t="s">
        <v>45</v>
      </c>
      <c r="K31" s="19" t="s">
        <v>10</v>
      </c>
    </row>
    <row r="32" spans="2:11" s="20" customFormat="1" ht="18.75" customHeight="1" x14ac:dyDescent="0.25">
      <c r="B32" s="36"/>
      <c r="C32" s="126">
        <v>5</v>
      </c>
      <c r="D32" s="137" t="s">
        <v>106</v>
      </c>
      <c r="E32" s="36"/>
      <c r="F32" s="36"/>
      <c r="G32" s="36"/>
      <c r="H32" s="36"/>
      <c r="I32" s="36"/>
      <c r="J32" s="36"/>
      <c r="K32" s="36"/>
    </row>
    <row r="33" spans="2:11" s="20" customFormat="1" ht="18.75" customHeight="1" x14ac:dyDescent="0.25">
      <c r="B33" s="36"/>
      <c r="C33" s="123"/>
      <c r="D33" s="36"/>
      <c r="E33" s="36"/>
      <c r="F33" s="36"/>
      <c r="G33" s="36"/>
      <c r="H33" s="36"/>
      <c r="I33" s="36"/>
      <c r="J33" s="36"/>
      <c r="K33" s="36"/>
    </row>
    <row r="34" spans="2:11" s="20" customFormat="1" ht="18.75" customHeight="1" x14ac:dyDescent="0.25">
      <c r="B34" s="36"/>
      <c r="C34" s="123"/>
      <c r="D34" s="36"/>
      <c r="E34" s="36"/>
      <c r="F34" s="36"/>
      <c r="G34" s="36"/>
      <c r="H34" s="36"/>
      <c r="I34" s="36"/>
      <c r="J34" s="36"/>
      <c r="K34" s="36"/>
    </row>
    <row r="35" spans="2:11" ht="18.75" customHeight="1" x14ac:dyDescent="0.25">
      <c r="B35" s="111"/>
      <c r="C35" s="124"/>
      <c r="D35" s="136"/>
      <c r="E35" s="111"/>
      <c r="F35" s="111"/>
      <c r="G35" s="111"/>
      <c r="H35" s="111"/>
      <c r="I35" s="111">
        <f>SUBTOTAL(109,tblE[Target for FY (FJD)])</f>
        <v>0</v>
      </c>
      <c r="J35" s="111">
        <f>SUBTOTAL(109,tblE[Actual Collections for FY (FJD)])</f>
        <v>0</v>
      </c>
      <c r="K35" s="111"/>
    </row>
    <row r="36" spans="2:11" ht="18.75" hidden="1" customHeight="1" x14ac:dyDescent="0.25">
      <c r="B36" s="19" t="s">
        <v>1</v>
      </c>
      <c r="C36" s="125" t="s">
        <v>104</v>
      </c>
      <c r="D36" s="19" t="s">
        <v>2</v>
      </c>
      <c r="E36" s="19" t="s">
        <v>123</v>
      </c>
      <c r="F36" s="19" t="s">
        <v>44</v>
      </c>
      <c r="G36" s="19" t="s">
        <v>103</v>
      </c>
      <c r="H36" s="19" t="s">
        <v>12</v>
      </c>
      <c r="I36" s="19" t="s">
        <v>101</v>
      </c>
      <c r="J36" s="19" t="s">
        <v>45</v>
      </c>
      <c r="K36" s="19" t="s">
        <v>10</v>
      </c>
    </row>
    <row r="37" spans="2:11" s="20" customFormat="1" ht="18.75" customHeight="1" x14ac:dyDescent="0.25">
      <c r="B37" s="36"/>
      <c r="C37" s="126">
        <v>6</v>
      </c>
      <c r="D37" s="137" t="s">
        <v>107</v>
      </c>
      <c r="E37" s="36"/>
      <c r="F37" s="36"/>
      <c r="G37" s="36"/>
      <c r="H37" s="36"/>
      <c r="I37" s="36"/>
      <c r="J37" s="36"/>
      <c r="K37" s="36"/>
    </row>
    <row r="38" spans="2:11" s="20" customFormat="1" ht="18.75" customHeight="1" x14ac:dyDescent="0.25">
      <c r="B38" s="36"/>
      <c r="C38" s="123"/>
      <c r="D38" s="36"/>
      <c r="E38" s="36"/>
      <c r="F38" s="36"/>
      <c r="G38" s="36"/>
      <c r="H38" s="36"/>
      <c r="I38" s="36"/>
      <c r="J38" s="36"/>
      <c r="K38" s="36"/>
    </row>
    <row r="39" spans="2:11" s="20" customFormat="1" ht="18.75" customHeight="1" x14ac:dyDescent="0.25">
      <c r="B39" s="36"/>
      <c r="C39" s="123"/>
      <c r="D39" s="36"/>
      <c r="E39" s="36"/>
      <c r="F39" s="36"/>
      <c r="G39" s="36"/>
      <c r="H39" s="36"/>
      <c r="I39" s="36"/>
      <c r="J39" s="36"/>
      <c r="K39" s="36"/>
    </row>
    <row r="40" spans="2:11" s="20" customFormat="1" ht="18.75" customHeight="1" x14ac:dyDescent="0.25">
      <c r="B40" s="36"/>
      <c r="C40" s="123"/>
      <c r="D40" s="36"/>
      <c r="E40" s="36"/>
      <c r="F40" s="36"/>
      <c r="G40" s="36"/>
      <c r="H40" s="36"/>
      <c r="I40" s="36"/>
      <c r="J40" s="36"/>
      <c r="K40" s="36"/>
    </row>
    <row r="41" spans="2:11" ht="18.75" customHeight="1" x14ac:dyDescent="0.25">
      <c r="B41" s="111"/>
      <c r="C41" s="124"/>
      <c r="D41" s="136"/>
      <c r="E41" s="111"/>
      <c r="F41" s="111"/>
      <c r="G41" s="111"/>
      <c r="H41" s="111"/>
      <c r="I41" s="111">
        <f>SUBTOTAL(109,tblF[Target for FY (FJD)])</f>
        <v>0</v>
      </c>
      <c r="J41" s="111">
        <f>SUBTOTAL(109,tblF[Actual Collections for FY (FJD)])</f>
        <v>0</v>
      </c>
      <c r="K41" s="111"/>
    </row>
    <row r="42" spans="2:11" ht="18.75" hidden="1" customHeight="1" x14ac:dyDescent="0.25">
      <c r="B42" s="19" t="s">
        <v>1</v>
      </c>
      <c r="C42" s="125" t="s">
        <v>104</v>
      </c>
      <c r="D42" s="19" t="s">
        <v>2</v>
      </c>
      <c r="E42" s="19" t="s">
        <v>123</v>
      </c>
      <c r="F42" s="19" t="s">
        <v>44</v>
      </c>
      <c r="G42" s="19" t="s">
        <v>103</v>
      </c>
      <c r="H42" s="19" t="s">
        <v>12</v>
      </c>
      <c r="I42" s="19" t="s">
        <v>101</v>
      </c>
      <c r="J42" s="19" t="s">
        <v>45</v>
      </c>
      <c r="K42" s="19" t="s">
        <v>10</v>
      </c>
    </row>
    <row r="43" spans="2:11" s="20" customFormat="1" ht="18.75" customHeight="1" x14ac:dyDescent="0.25">
      <c r="B43" s="36"/>
      <c r="C43" s="126">
        <v>7</v>
      </c>
      <c r="D43" s="137" t="s">
        <v>112</v>
      </c>
      <c r="E43" s="36"/>
      <c r="F43" s="36"/>
      <c r="G43" s="36"/>
      <c r="H43" s="36"/>
      <c r="I43" s="36"/>
      <c r="J43" s="36"/>
      <c r="K43" s="36"/>
    </row>
    <row r="44" spans="2:11" s="20" customFormat="1" ht="18.75" customHeight="1" x14ac:dyDescent="0.25">
      <c r="B44" s="36"/>
      <c r="C44" s="123"/>
      <c r="D44" s="36"/>
      <c r="E44" s="36"/>
      <c r="F44" s="36"/>
      <c r="G44" s="36"/>
      <c r="H44" s="36"/>
      <c r="I44" s="36"/>
      <c r="J44" s="36"/>
      <c r="K44" s="36"/>
    </row>
    <row r="45" spans="2:11" s="20" customFormat="1" ht="18.75" customHeight="1" x14ac:dyDescent="0.25">
      <c r="B45" s="36"/>
      <c r="C45" s="123"/>
      <c r="D45" s="36"/>
      <c r="E45" s="36"/>
      <c r="F45" s="36"/>
      <c r="G45" s="36"/>
      <c r="H45" s="36"/>
      <c r="I45" s="36"/>
      <c r="J45" s="36"/>
      <c r="K45" s="36"/>
    </row>
    <row r="46" spans="2:11" ht="18.75" customHeight="1" x14ac:dyDescent="0.25">
      <c r="B46" s="111"/>
      <c r="C46" s="124"/>
      <c r="D46" s="136"/>
      <c r="E46" s="111"/>
      <c r="F46" s="111"/>
      <c r="G46" s="111"/>
      <c r="H46" s="111"/>
      <c r="I46" s="111">
        <f>SUBTOTAL(109,tblG[Target for FY (FJD)])</f>
        <v>0</v>
      </c>
      <c r="J46" s="111">
        <f>SUBTOTAL(109,tblG[Actual Collections for FY (FJD)])</f>
        <v>0</v>
      </c>
      <c r="K46" s="111"/>
    </row>
    <row r="50" spans="2:11" ht="18.75" customHeight="1" x14ac:dyDescent="0.25">
      <c r="B50" s="285" t="s">
        <v>109</v>
      </c>
      <c r="C50" s="285"/>
      <c r="D50" s="285"/>
    </row>
    <row r="51" spans="2:11" ht="18.75" customHeight="1" x14ac:dyDescent="0.25">
      <c r="B51" s="285"/>
      <c r="C51" s="285"/>
      <c r="D51" s="285"/>
    </row>
    <row r="52" spans="2:11" ht="18.75" hidden="1" customHeight="1" x14ac:dyDescent="0.25">
      <c r="B52" s="19" t="s">
        <v>1</v>
      </c>
      <c r="C52" s="125" t="s">
        <v>104</v>
      </c>
      <c r="D52" s="19" t="s">
        <v>2</v>
      </c>
      <c r="E52" s="19" t="s">
        <v>123</v>
      </c>
      <c r="F52" s="19" t="s">
        <v>44</v>
      </c>
      <c r="G52" s="19" t="s">
        <v>103</v>
      </c>
      <c r="H52" s="19" t="s">
        <v>12</v>
      </c>
      <c r="I52" s="19" t="s">
        <v>101</v>
      </c>
      <c r="J52" s="19" t="s">
        <v>45</v>
      </c>
      <c r="K52" s="19" t="s">
        <v>10</v>
      </c>
    </row>
    <row r="53" spans="2:11" s="20" customFormat="1" ht="18.75" customHeight="1" x14ac:dyDescent="0.25">
      <c r="B53" s="138"/>
      <c r="C53" s="184">
        <v>8</v>
      </c>
      <c r="D53" s="156" t="s">
        <v>115</v>
      </c>
      <c r="E53" s="138"/>
      <c r="F53" s="138"/>
      <c r="G53" s="138"/>
      <c r="H53" s="138"/>
      <c r="I53" s="138"/>
      <c r="J53" s="138"/>
      <c r="K53" s="138"/>
    </row>
    <row r="54" spans="2:11" s="20" customFormat="1" ht="18.75" customHeight="1" x14ac:dyDescent="0.25">
      <c r="B54" s="139"/>
      <c r="C54" s="127"/>
      <c r="D54" s="139"/>
      <c r="E54" s="139"/>
      <c r="F54" s="139"/>
      <c r="G54" s="139"/>
      <c r="H54" s="139"/>
      <c r="I54" s="139"/>
      <c r="J54" s="139"/>
      <c r="K54" s="139"/>
    </row>
    <row r="55" spans="2:11" ht="18.75" customHeight="1" x14ac:dyDescent="0.25">
      <c r="B55" s="140"/>
      <c r="C55" s="128"/>
      <c r="D55" s="140"/>
      <c r="E55" s="140"/>
      <c r="F55" s="140"/>
      <c r="G55" s="140"/>
      <c r="H55" s="140"/>
      <c r="I55" s="140">
        <f>SUBTOTAL(109,tblH[Target for FY (FJD)])</f>
        <v>0</v>
      </c>
      <c r="J55" s="140">
        <f>SUBTOTAL(109,tblH[Actual Collections for FY (FJD)])</f>
        <v>0</v>
      </c>
      <c r="K55" s="140"/>
    </row>
    <row r="56" spans="2:11" ht="18.75" hidden="1" customHeight="1" x14ac:dyDescent="0.25">
      <c r="B56" s="19" t="s">
        <v>1</v>
      </c>
      <c r="C56" s="125" t="s">
        <v>104</v>
      </c>
      <c r="D56" s="19" t="s">
        <v>2</v>
      </c>
      <c r="E56" s="19" t="s">
        <v>123</v>
      </c>
      <c r="F56" s="19" t="s">
        <v>44</v>
      </c>
      <c r="G56" s="19" t="s">
        <v>103</v>
      </c>
      <c r="H56" s="19" t="s">
        <v>12</v>
      </c>
      <c r="I56" s="19" t="s">
        <v>101</v>
      </c>
      <c r="J56" s="19" t="s">
        <v>45</v>
      </c>
      <c r="K56" s="19" t="s">
        <v>10</v>
      </c>
    </row>
    <row r="57" spans="2:11" s="20" customFormat="1" ht="18.75" customHeight="1" x14ac:dyDescent="0.25">
      <c r="B57" s="138"/>
      <c r="C57" s="155">
        <v>9</v>
      </c>
      <c r="D57" s="156" t="s">
        <v>116</v>
      </c>
      <c r="E57" s="138"/>
      <c r="F57" s="138"/>
      <c r="G57" s="138"/>
      <c r="H57" s="138"/>
      <c r="I57" s="138"/>
      <c r="J57" s="138"/>
      <c r="K57" s="138"/>
    </row>
    <row r="58" spans="2:11" s="20" customFormat="1" ht="18.75" customHeight="1" x14ac:dyDescent="0.25">
      <c r="B58" s="139"/>
      <c r="C58" s="149"/>
      <c r="D58" s="139"/>
      <c r="E58" s="139"/>
      <c r="F58" s="139"/>
      <c r="G58" s="139"/>
      <c r="H58" s="139"/>
      <c r="I58" s="139"/>
      <c r="J58" s="139"/>
      <c r="K58" s="139"/>
    </row>
    <row r="59" spans="2:11" ht="18.75" customHeight="1" x14ac:dyDescent="0.25">
      <c r="B59" s="150"/>
      <c r="C59" s="151"/>
      <c r="D59" s="152"/>
      <c r="E59" s="150"/>
      <c r="F59" s="150"/>
      <c r="G59" s="150"/>
      <c r="H59" s="150"/>
      <c r="I59" s="150">
        <f>SUBTOTAL(109,tblI[Target for FY (FJD)])</f>
        <v>0</v>
      </c>
      <c r="J59" s="150">
        <f>SUBTOTAL(109,tblI[Actual Collections for FY (FJD)])</f>
        <v>0</v>
      </c>
      <c r="K59" s="150"/>
    </row>
    <row r="60" spans="2:11" ht="18.75" hidden="1" customHeight="1" x14ac:dyDescent="0.25">
      <c r="B60" s="153" t="s">
        <v>1</v>
      </c>
      <c r="C60" s="154" t="s">
        <v>104</v>
      </c>
      <c r="D60" s="153" t="s">
        <v>2</v>
      </c>
      <c r="E60" s="153" t="s">
        <v>123</v>
      </c>
      <c r="F60" s="153" t="s">
        <v>44</v>
      </c>
      <c r="G60" s="153" t="s">
        <v>103</v>
      </c>
      <c r="H60" s="153" t="s">
        <v>12</v>
      </c>
      <c r="I60" s="153" t="s">
        <v>101</v>
      </c>
      <c r="J60" s="153" t="s">
        <v>45</v>
      </c>
      <c r="K60" s="153" t="s">
        <v>10</v>
      </c>
    </row>
    <row r="61" spans="2:11" s="21" customFormat="1" ht="18.75" customHeight="1" x14ac:dyDescent="0.25">
      <c r="B61" s="148"/>
      <c r="C61" s="155">
        <v>10</v>
      </c>
      <c r="D61" s="156" t="s">
        <v>117</v>
      </c>
      <c r="E61" s="148"/>
      <c r="F61" s="148"/>
      <c r="G61" s="148"/>
      <c r="H61" s="148"/>
      <c r="I61" s="148"/>
      <c r="J61" s="148"/>
      <c r="K61" s="148"/>
    </row>
    <row r="62" spans="2:11" s="20" customFormat="1" ht="18.75" customHeight="1" x14ac:dyDescent="0.25">
      <c r="B62" s="139"/>
      <c r="C62" s="149"/>
      <c r="D62" s="139"/>
      <c r="E62" s="139"/>
      <c r="F62" s="139"/>
      <c r="G62" s="139"/>
      <c r="H62" s="139"/>
      <c r="I62" s="139"/>
      <c r="J62" s="139"/>
      <c r="K62" s="139"/>
    </row>
    <row r="63" spans="2:11" ht="18.75" customHeight="1" x14ac:dyDescent="0.25">
      <c r="B63" s="150"/>
      <c r="C63" s="151"/>
      <c r="D63" s="152"/>
      <c r="E63" s="150"/>
      <c r="F63" s="150"/>
      <c r="G63" s="150"/>
      <c r="H63" s="150"/>
      <c r="I63" s="150">
        <f>SUBTOTAL(109,tblJ[Target for FY (FJD)])</f>
        <v>0</v>
      </c>
      <c r="J63" s="150">
        <f>SUBTOTAL(109,tblJ[Actual Collections for FY (FJD)])</f>
        <v>0</v>
      </c>
      <c r="K63" s="150"/>
    </row>
    <row r="67" spans="2:11" ht="18.75" customHeight="1" x14ac:dyDescent="0.25">
      <c r="B67" s="284" t="s">
        <v>114</v>
      </c>
      <c r="C67" s="284"/>
      <c r="D67" s="284"/>
    </row>
    <row r="68" spans="2:11" ht="18.75" customHeight="1" x14ac:dyDescent="0.25">
      <c r="B68" s="284"/>
      <c r="C68" s="284"/>
      <c r="D68" s="284"/>
    </row>
    <row r="69" spans="2:11" ht="18.75" hidden="1" customHeight="1" x14ac:dyDescent="0.25">
      <c r="B69" s="19" t="s">
        <v>1</v>
      </c>
      <c r="C69" s="125" t="s">
        <v>104</v>
      </c>
      <c r="D69" s="19" t="s">
        <v>2</v>
      </c>
      <c r="E69" s="19" t="s">
        <v>123</v>
      </c>
      <c r="F69" s="19" t="s">
        <v>44</v>
      </c>
      <c r="G69" s="19" t="s">
        <v>103</v>
      </c>
      <c r="H69" s="19" t="s">
        <v>12</v>
      </c>
      <c r="I69" s="19" t="s">
        <v>101</v>
      </c>
      <c r="J69" s="19" t="s">
        <v>45</v>
      </c>
      <c r="K69" s="19" t="s">
        <v>10</v>
      </c>
    </row>
    <row r="70" spans="2:11" s="21" customFormat="1" ht="18.75" customHeight="1" x14ac:dyDescent="0.25">
      <c r="B70" s="148"/>
      <c r="C70" s="155">
        <v>11</v>
      </c>
      <c r="D70" s="156" t="s">
        <v>430</v>
      </c>
      <c r="E70" s="148"/>
      <c r="F70" s="148"/>
      <c r="G70" s="148"/>
      <c r="H70" s="148"/>
      <c r="I70" s="148"/>
      <c r="J70" s="148"/>
      <c r="K70" s="148"/>
    </row>
    <row r="71" spans="2:11" s="20" customFormat="1" ht="18.75" customHeight="1" x14ac:dyDescent="0.25">
      <c r="B71" s="138"/>
      <c r="C71" s="157"/>
      <c r="D71" s="138"/>
      <c r="E71" s="138"/>
      <c r="F71" s="138"/>
      <c r="G71" s="138"/>
      <c r="H71" s="138"/>
      <c r="I71" s="138"/>
      <c r="J71" s="138">
        <v>500000</v>
      </c>
      <c r="K71" s="138"/>
    </row>
    <row r="72" spans="2:11" ht="18.75" customHeight="1" x14ac:dyDescent="0.25">
      <c r="B72" s="150"/>
      <c r="C72" s="151"/>
      <c r="D72" s="152"/>
      <c r="E72" s="150"/>
      <c r="F72" s="150"/>
      <c r="G72" s="150"/>
      <c r="H72" s="150"/>
      <c r="I72" s="150">
        <f>SUBTOTAL(109,tblK[Target for FY (FJD)])</f>
        <v>0</v>
      </c>
      <c r="J72" s="150">
        <f>SUBTOTAL(109,tblK[Actual Collections for FY (FJD)])</f>
        <v>500000</v>
      </c>
      <c r="K72" s="150"/>
    </row>
    <row r="73" spans="2:11" ht="18.75" hidden="1" customHeight="1" x14ac:dyDescent="0.25">
      <c r="B73" s="19" t="s">
        <v>1</v>
      </c>
      <c r="C73" s="125" t="s">
        <v>104</v>
      </c>
      <c r="D73" s="19" t="s">
        <v>2</v>
      </c>
      <c r="E73" s="19" t="s">
        <v>123</v>
      </c>
      <c r="F73" s="19" t="s">
        <v>44</v>
      </c>
      <c r="G73" s="19" t="s">
        <v>103</v>
      </c>
      <c r="H73" s="19" t="s">
        <v>12</v>
      </c>
      <c r="I73" s="19" t="s">
        <v>101</v>
      </c>
      <c r="J73" s="19" t="s">
        <v>45</v>
      </c>
      <c r="K73" s="19" t="s">
        <v>10</v>
      </c>
    </row>
    <row r="74" spans="2:11" s="21" customFormat="1" ht="18.75" customHeight="1" x14ac:dyDescent="0.25">
      <c r="B74" s="148"/>
      <c r="C74" s="155">
        <v>12</v>
      </c>
      <c r="D74" s="156" t="s">
        <v>116</v>
      </c>
      <c r="E74" s="148"/>
      <c r="F74" s="148"/>
      <c r="G74" s="148"/>
      <c r="H74" s="148"/>
      <c r="I74" s="148"/>
      <c r="J74" s="148"/>
      <c r="K74" s="148"/>
    </row>
    <row r="75" spans="2:11" s="20" customFormat="1" ht="18.75" customHeight="1" x14ac:dyDescent="0.25">
      <c r="B75" s="139"/>
      <c r="C75" s="149"/>
      <c r="D75" s="139"/>
      <c r="E75" s="139"/>
      <c r="F75" s="139"/>
      <c r="G75" s="139"/>
      <c r="H75" s="139"/>
      <c r="I75" s="139"/>
      <c r="J75" s="139"/>
      <c r="K75" s="139"/>
    </row>
    <row r="76" spans="2:11" s="20" customFormat="1" ht="18.75" customHeight="1" x14ac:dyDescent="0.25">
      <c r="B76" s="181"/>
      <c r="C76" s="182"/>
      <c r="D76" s="181"/>
      <c r="E76" s="181"/>
      <c r="F76" s="181"/>
      <c r="G76" s="181"/>
      <c r="H76" s="181"/>
      <c r="I76" s="181"/>
      <c r="J76" s="181"/>
      <c r="K76" s="181"/>
    </row>
    <row r="77" spans="2:11" s="20" customFormat="1" ht="18.75" customHeight="1" x14ac:dyDescent="0.25">
      <c r="B77" s="139"/>
      <c r="C77" s="149"/>
      <c r="D77" s="139"/>
      <c r="E77" s="139"/>
      <c r="F77" s="139"/>
      <c r="G77" s="139"/>
      <c r="H77" s="139"/>
      <c r="I77" s="139"/>
      <c r="J77" s="139"/>
      <c r="K77" s="139"/>
    </row>
    <row r="78" spans="2:11" ht="18.75" customHeight="1" x14ac:dyDescent="0.25">
      <c r="B78" s="150"/>
      <c r="C78" s="151"/>
      <c r="D78" s="152"/>
      <c r="E78" s="150"/>
      <c r="F78" s="150"/>
      <c r="G78" s="150"/>
      <c r="H78" s="150"/>
      <c r="I78" s="150">
        <f>SUBTOTAL(109,tblL[Target for FY (FJD)])</f>
        <v>0</v>
      </c>
      <c r="J78" s="150">
        <f>SUBTOTAL(109,tblL[Actual Collections for FY (FJD)])</f>
        <v>0</v>
      </c>
      <c r="K78" s="150"/>
    </row>
    <row r="79" spans="2:11" ht="18.75" hidden="1" customHeight="1" x14ac:dyDescent="0.25">
      <c r="B79" s="153" t="s">
        <v>1</v>
      </c>
      <c r="C79" s="154" t="s">
        <v>104</v>
      </c>
      <c r="D79" s="153" t="s">
        <v>2</v>
      </c>
      <c r="E79" s="153" t="s">
        <v>123</v>
      </c>
      <c r="F79" s="153" t="s">
        <v>44</v>
      </c>
      <c r="G79" s="153" t="s">
        <v>103</v>
      </c>
      <c r="H79" s="153" t="s">
        <v>12</v>
      </c>
      <c r="I79" s="153" t="s">
        <v>101</v>
      </c>
      <c r="J79" s="153" t="s">
        <v>45</v>
      </c>
      <c r="K79" s="153" t="s">
        <v>10</v>
      </c>
    </row>
    <row r="80" spans="2:11" s="21" customFormat="1" ht="18.75" customHeight="1" x14ac:dyDescent="0.25">
      <c r="B80" s="148"/>
      <c r="C80" s="155">
        <v>13</v>
      </c>
      <c r="D80" s="156" t="s">
        <v>117</v>
      </c>
      <c r="E80" s="148"/>
      <c r="F80" s="148"/>
      <c r="G80" s="148"/>
      <c r="H80" s="148"/>
      <c r="I80" s="148"/>
      <c r="J80" s="148"/>
      <c r="K80" s="148"/>
    </row>
    <row r="81" spans="2:11" s="20" customFormat="1" ht="18.75" customHeight="1" x14ac:dyDescent="0.25">
      <c r="B81" s="139"/>
      <c r="C81" s="149"/>
      <c r="D81" s="139"/>
      <c r="E81" s="139"/>
      <c r="F81" s="139"/>
      <c r="G81" s="139"/>
      <c r="H81" s="139"/>
      <c r="I81" s="139"/>
      <c r="J81" s="139"/>
      <c r="K81" s="139"/>
    </row>
    <row r="82" spans="2:11" s="20" customFormat="1" ht="18.75" customHeight="1" x14ac:dyDescent="0.25">
      <c r="B82" s="181"/>
      <c r="C82" s="182"/>
      <c r="D82" s="181"/>
      <c r="E82" s="181"/>
      <c r="F82" s="181"/>
      <c r="G82" s="181"/>
      <c r="H82" s="181"/>
      <c r="I82" s="181"/>
      <c r="J82" s="181"/>
      <c r="K82" s="181"/>
    </row>
    <row r="83" spans="2:11" ht="18.75" customHeight="1" x14ac:dyDescent="0.25">
      <c r="B83" s="150"/>
      <c r="C83" s="151"/>
      <c r="D83" s="152"/>
      <c r="E83" s="150"/>
      <c r="F83" s="150"/>
      <c r="G83" s="150"/>
      <c r="H83" s="150"/>
      <c r="I83" s="150">
        <f>SUBTOTAL(109,tblM[Target for FY (FJD)])</f>
        <v>0</v>
      </c>
      <c r="J83" s="150">
        <f>SUBTOTAL(109,tblM[Actual Collections for FY (FJD)])</f>
        <v>0</v>
      </c>
      <c r="K83" s="150"/>
    </row>
    <row r="84" spans="2:11" ht="18.75" hidden="1" customHeight="1" x14ac:dyDescent="0.25">
      <c r="B84" s="153" t="s">
        <v>1</v>
      </c>
      <c r="C84" s="154" t="s">
        <v>104</v>
      </c>
      <c r="D84" s="153" t="s">
        <v>2</v>
      </c>
      <c r="E84" s="153" t="s">
        <v>123</v>
      </c>
      <c r="F84" s="153" t="s">
        <v>44</v>
      </c>
      <c r="G84" s="153" t="s">
        <v>103</v>
      </c>
      <c r="H84" s="153" t="s">
        <v>12</v>
      </c>
      <c r="I84" s="153" t="s">
        <v>101</v>
      </c>
      <c r="J84" s="153" t="s">
        <v>45</v>
      </c>
      <c r="K84" s="153" t="s">
        <v>10</v>
      </c>
    </row>
    <row r="85" spans="2:11" s="21" customFormat="1" ht="18.75" customHeight="1" x14ac:dyDescent="0.25">
      <c r="B85" s="148"/>
      <c r="C85" s="155">
        <v>14</v>
      </c>
      <c r="D85" s="156" t="s">
        <v>118</v>
      </c>
      <c r="E85" s="148"/>
      <c r="F85" s="148"/>
      <c r="G85" s="148"/>
      <c r="H85" s="148"/>
      <c r="I85" s="148"/>
      <c r="J85" s="148"/>
      <c r="K85" s="148"/>
    </row>
    <row r="86" spans="2:11" s="20" customFormat="1" ht="18.75" customHeight="1" x14ac:dyDescent="0.25">
      <c r="B86" s="139"/>
      <c r="C86" s="149"/>
      <c r="D86" s="139"/>
      <c r="E86" s="139"/>
      <c r="F86" s="139"/>
      <c r="G86" s="139"/>
      <c r="H86" s="139"/>
      <c r="I86" s="139"/>
      <c r="J86" s="139"/>
      <c r="K86" s="139"/>
    </row>
    <row r="87" spans="2:11" ht="18.75" customHeight="1" x14ac:dyDescent="0.25">
      <c r="B87" s="150"/>
      <c r="C87" s="151"/>
      <c r="D87" s="152"/>
      <c r="E87" s="150"/>
      <c r="F87" s="150"/>
      <c r="G87" s="150"/>
      <c r="H87" s="150"/>
      <c r="I87" s="150">
        <f>SUBTOTAL(109,tblM2[Target for FY (FJD)])</f>
        <v>0</v>
      </c>
      <c r="J87" s="150">
        <f>SUBTOTAL(109,tblM2[Actual Collections for FY (FJD)])</f>
        <v>0</v>
      </c>
      <c r="K87" s="150"/>
    </row>
    <row r="88" spans="2:11" ht="18.75" hidden="1" customHeight="1" x14ac:dyDescent="0.25">
      <c r="B88" s="153" t="s">
        <v>1</v>
      </c>
      <c r="C88" s="154" t="s">
        <v>104</v>
      </c>
      <c r="D88" s="153" t="s">
        <v>2</v>
      </c>
      <c r="E88" s="153" t="s">
        <v>123</v>
      </c>
      <c r="F88" s="153" t="s">
        <v>44</v>
      </c>
      <c r="G88" s="153" t="s">
        <v>103</v>
      </c>
      <c r="H88" s="153" t="s">
        <v>12</v>
      </c>
      <c r="I88" s="153" t="s">
        <v>101</v>
      </c>
      <c r="J88" s="153" t="s">
        <v>45</v>
      </c>
      <c r="K88" s="153" t="s">
        <v>10</v>
      </c>
    </row>
    <row r="89" spans="2:11" s="21" customFormat="1" ht="18.75" customHeight="1" x14ac:dyDescent="0.25">
      <c r="B89" s="148"/>
      <c r="C89" s="155">
        <v>15</v>
      </c>
      <c r="D89" s="156" t="s">
        <v>119</v>
      </c>
      <c r="E89" s="148"/>
      <c r="F89" s="148"/>
      <c r="G89" s="148"/>
      <c r="H89" s="148"/>
      <c r="I89" s="148"/>
      <c r="J89" s="148"/>
      <c r="K89" s="148"/>
    </row>
    <row r="90" spans="2:11" s="20" customFormat="1" ht="18.75" customHeight="1" x14ac:dyDescent="0.25">
      <c r="B90" s="139"/>
      <c r="C90" s="149"/>
      <c r="D90" s="139"/>
      <c r="E90" s="139"/>
      <c r="F90" s="139"/>
      <c r="G90" s="139"/>
      <c r="H90" s="139"/>
      <c r="I90" s="139"/>
      <c r="J90" s="139"/>
      <c r="K90" s="139"/>
    </row>
    <row r="91" spans="2:11" ht="18.75" customHeight="1" x14ac:dyDescent="0.25">
      <c r="B91" s="158"/>
      <c r="C91" s="159"/>
      <c r="D91" s="160"/>
      <c r="E91" s="161"/>
      <c r="F91" s="161"/>
      <c r="G91" s="161"/>
      <c r="H91" s="161"/>
      <c r="I91" s="161">
        <f>SUBTOTAL(109,tblM17[Target for FY (FJD)])</f>
        <v>0</v>
      </c>
      <c r="J91" s="161">
        <f>SUBTOTAL(109,tblM17[Actual Collections for FY (FJD)])</f>
        <v>0</v>
      </c>
      <c r="K91" s="162"/>
    </row>
    <row r="92" spans="2:11" ht="18.75" customHeight="1" thickBot="1" x14ac:dyDescent="0.3"/>
    <row r="93" spans="2:11" s="141" customFormat="1" ht="25.5" customHeight="1" thickBot="1" x14ac:dyDescent="0.3">
      <c r="B93" s="163"/>
      <c r="C93" s="164"/>
      <c r="D93" s="165" t="s">
        <v>108</v>
      </c>
      <c r="E93" s="166" t="str">
        <f>Master_Input!C6</f>
        <v>2023-2024</v>
      </c>
      <c r="F93" s="167"/>
      <c r="G93" s="167"/>
      <c r="H93" s="167"/>
      <c r="I93" s="167">
        <f>SUM(tblA[[#Totals],[Target for FY]]+tblB[[#Totals],[Target for FY (FJD)]]+tblC[[#Totals],[Target for FY (FJD)]]+tblD[[#Totals],[Target for FY (FJD)]]+tblE[[#Totals],[Target for FY (FJD)]]+tblF[[#Totals],[Target for FY (FJD)]]+tblG[[#Totals],[Target for FY (FJD)]]+tblH[[#Totals],[Target for FY (FJD)]]+tblI[[#Totals],[Target for FY (FJD)]]+tblJ[[#Totals],[Target for FY (FJD)]]+tblK[[#Totals],[Target for FY (FJD)]]+tblL[[#Totals],[Target for FY (FJD)]]+tblM[[#Totals],[Target for FY (FJD)]])+tblM2[[#Totals],[Target for FY (FJD)]]+tblM17[[#Totals],[Target for FY (FJD)]]</f>
        <v>0</v>
      </c>
      <c r="J93" s="167">
        <f>SUM(tblA[[#Totals],[Actual Collections for FY ]]+tblB[[#Totals],[Actual Collections for FY (FJD)]]+tblC[[#Totals],[Actual Collections for FY (FJD)]]+tblD[[#Totals],[Actual Collections for FY (FJD)]]+tblE[[#Totals],[Actual Collections for FY (FJD)]]+tblF[[#Totals],[Actual Collections for FY (FJD)]]+tblG[[#Totals],[Actual Collections for FY (FJD)]]+tblH[[#Totals],[Actual Collections for FY (FJD)]]+tblI[[#Totals],[Actual Collections for FY (FJD)]]+tblJ[[#Totals],[Actual Collections for FY (FJD)]]+tblK[[#Totals],[Actual Collections for FY (FJD)]]+tblL[[#Totals],[Actual Collections for FY (FJD)]]+tblM[[#Totals],[Actual Collections for FY (FJD)]])+tblM2[[#Totals],[Actual Collections for FY (FJD)]]+tblM17[[#Totals],[Actual Collections for FY (FJD)]]</f>
        <v>620050</v>
      </c>
      <c r="K93" s="168"/>
    </row>
    <row r="97" spans="3:11" ht="18.75" customHeight="1" thickBot="1" x14ac:dyDescent="0.3"/>
    <row r="98" spans="3:11" ht="18.75" customHeight="1" thickTop="1" thickBot="1" x14ac:dyDescent="0.3">
      <c r="D98" s="282" t="s">
        <v>111</v>
      </c>
      <c r="E98" s="283"/>
    </row>
    <row r="99" spans="3:11" ht="18.75" customHeight="1" thickTop="1" x14ac:dyDescent="0.25">
      <c r="D99" s="142" t="s">
        <v>131</v>
      </c>
      <c r="E99" s="33"/>
    </row>
    <row r="100" spans="3:11" ht="18.75" hidden="1" customHeight="1" x14ac:dyDescent="0.25">
      <c r="D100" s="90" t="s">
        <v>126</v>
      </c>
      <c r="E100" s="90" t="s">
        <v>127</v>
      </c>
    </row>
    <row r="101" spans="3:11" ht="18.75" customHeight="1" x14ac:dyDescent="0.25">
      <c r="D101" s="143" t="str">
        <f>D7</f>
        <v>GARBAGE FEE</v>
      </c>
      <c r="E101" s="37">
        <f>tblA[[#Totals],[Actual Collections for FY ]]</f>
        <v>100000</v>
      </c>
      <c r="H101" s="20"/>
      <c r="I101" s="20"/>
      <c r="J101" s="20"/>
      <c r="K101" s="20"/>
    </row>
    <row r="102" spans="3:11" ht="18.75" customHeight="1" x14ac:dyDescent="0.25">
      <c r="D102" s="144" t="str">
        <f>D12</f>
        <v>LANDFILL FEE</v>
      </c>
      <c r="E102" s="38">
        <f>tblB[[#Totals],[Actual Collections for FY (FJD)]]</f>
        <v>50</v>
      </c>
      <c r="H102" s="20"/>
      <c r="I102" s="20"/>
      <c r="J102" s="20"/>
      <c r="K102" s="20"/>
    </row>
    <row r="103" spans="3:11" ht="18.75" customHeight="1" x14ac:dyDescent="0.25">
      <c r="D103" s="143" t="str">
        <f>D19</f>
        <v>SALE OF RECYCLEABLE MATERIALS</v>
      </c>
      <c r="E103" s="37">
        <f>tblC[[#Totals],[Actual Collections for FY (FJD)]]</f>
        <v>0</v>
      </c>
      <c r="H103" s="20"/>
      <c r="I103" s="20"/>
      <c r="J103" s="20"/>
      <c r="K103" s="20"/>
    </row>
    <row r="104" spans="3:11" ht="18.75" customHeight="1" x14ac:dyDescent="0.25">
      <c r="D104" s="144" t="str">
        <f>D27</f>
        <v>SALE FROM IN-SITU RECYCLING</v>
      </c>
      <c r="E104" s="38">
        <f>tblD[[#Totals],[Actual Collections for FY (FJD)]]</f>
        <v>20000</v>
      </c>
      <c r="H104" s="20"/>
      <c r="I104" s="20"/>
      <c r="J104" s="20"/>
      <c r="K104" s="20"/>
    </row>
    <row r="105" spans="3:11" ht="18.75" customHeight="1" x14ac:dyDescent="0.25">
      <c r="D105" s="143" t="str">
        <f>D32</f>
        <v>SALE FROM ORGANIC WASTE PROCESSING</v>
      </c>
      <c r="E105" s="37">
        <f>tblE[[#Totals],[Actual Collections for FY (FJD)]]</f>
        <v>0</v>
      </c>
      <c r="H105" s="20"/>
      <c r="I105" s="20"/>
      <c r="J105" s="20"/>
      <c r="K105" s="20"/>
    </row>
    <row r="106" spans="3:11" ht="18.75" customHeight="1" x14ac:dyDescent="0.25">
      <c r="D106" s="144" t="str">
        <f>D37</f>
        <v>FINES AND PENALTIES</v>
      </c>
      <c r="E106" s="38">
        <f>tblF[[#Totals],[Actual Collections for FY (FJD)]]</f>
        <v>0</v>
      </c>
      <c r="H106" s="20"/>
      <c r="I106" s="20"/>
      <c r="J106" s="20"/>
      <c r="K106" s="20"/>
    </row>
    <row r="107" spans="3:11" ht="18.75" customHeight="1" x14ac:dyDescent="0.25">
      <c r="D107" s="143" t="str">
        <f>D43</f>
        <v>License of Companies Conducting SWM Activities</v>
      </c>
      <c r="E107" s="37">
        <f>tblG[[#Totals],[Actual Collections for FY (FJD)]]</f>
        <v>0</v>
      </c>
      <c r="H107" s="20"/>
      <c r="I107" s="20"/>
      <c r="J107" s="20"/>
      <c r="K107" s="20"/>
    </row>
    <row r="108" spans="3:11" ht="18.75" customHeight="1" x14ac:dyDescent="0.25">
      <c r="D108" s="144" t="str">
        <f>D53</f>
        <v>(OTHERS 1)</v>
      </c>
      <c r="E108" s="38">
        <f>tblH[[#Totals],[Actual Collections for FY (FJD)]]</f>
        <v>0</v>
      </c>
      <c r="H108" s="20"/>
      <c r="I108" s="20"/>
      <c r="J108" s="20"/>
      <c r="K108" s="20"/>
    </row>
    <row r="109" spans="3:11" ht="18.75" customHeight="1" x14ac:dyDescent="0.25">
      <c r="D109" s="143" t="str">
        <f>D57</f>
        <v>(OTHERS 2)</v>
      </c>
      <c r="E109" s="37">
        <f>tblI[[#Totals],[Actual Collections for FY (FJD)]]</f>
        <v>0</v>
      </c>
      <c r="H109" s="20"/>
      <c r="I109" s="20"/>
      <c r="J109" s="20"/>
      <c r="K109" s="20"/>
    </row>
    <row r="110" spans="3:11" ht="18.75" customHeight="1" x14ac:dyDescent="0.25">
      <c r="D110" s="144" t="str">
        <f>D61</f>
        <v>(OTHERS 3)</v>
      </c>
      <c r="E110" s="38">
        <f>tblJ[[#Totals],[Actual Collections for FY (FJD)]]</f>
        <v>0</v>
      </c>
      <c r="H110" s="20"/>
      <c r="I110" s="20"/>
      <c r="J110" s="20"/>
      <c r="K110" s="20"/>
    </row>
    <row r="111" spans="3:11" ht="18.75" customHeight="1" x14ac:dyDescent="0.25">
      <c r="D111" s="145" t="s">
        <v>40</v>
      </c>
      <c r="E111" s="31">
        <f>SUBTOTAL(109,tblFrInternal[Column2])</f>
        <v>120050</v>
      </c>
      <c r="H111" s="20"/>
      <c r="I111" s="20"/>
      <c r="J111" s="20"/>
      <c r="K111" s="20"/>
    </row>
    <row r="112" spans="3:11" s="37" customFormat="1" ht="18.75" customHeight="1" x14ac:dyDescent="0.25">
      <c r="C112" s="129"/>
      <c r="D112" s="142" t="s">
        <v>110</v>
      </c>
      <c r="E112" s="33"/>
      <c r="H112" s="36"/>
      <c r="I112" s="36"/>
      <c r="J112" s="36"/>
      <c r="K112" s="36"/>
    </row>
    <row r="113" spans="4:11" ht="18.75" hidden="1" customHeight="1" x14ac:dyDescent="0.25">
      <c r="D113" s="20" t="s">
        <v>126</v>
      </c>
      <c r="E113" s="20" t="s">
        <v>127</v>
      </c>
      <c r="H113" s="20"/>
      <c r="I113" s="20"/>
      <c r="J113" s="20"/>
      <c r="K113" s="20"/>
    </row>
    <row r="114" spans="4:11" ht="18.75" customHeight="1" x14ac:dyDescent="0.25">
      <c r="D114" s="146" t="str">
        <f>D70</f>
        <v>MoLG</v>
      </c>
      <c r="E114" s="36">
        <f>tblK[[#Totals],[Actual Collections for FY (FJD)]]</f>
        <v>500000</v>
      </c>
      <c r="H114" s="20"/>
      <c r="I114" s="20"/>
      <c r="J114" s="20"/>
      <c r="K114" s="20"/>
    </row>
    <row r="115" spans="4:11" ht="18.75" customHeight="1" x14ac:dyDescent="0.25">
      <c r="D115" s="146" t="str">
        <f>D74</f>
        <v>(OTHERS 2)</v>
      </c>
      <c r="E115" s="36">
        <f>tblL[[#Totals],[Actual Collections for FY (FJD)]]</f>
        <v>0</v>
      </c>
      <c r="H115" s="20"/>
      <c r="I115" s="20"/>
      <c r="J115" s="20"/>
      <c r="K115" s="20"/>
    </row>
    <row r="116" spans="4:11" ht="18.75" customHeight="1" x14ac:dyDescent="0.25">
      <c r="D116" s="146" t="str">
        <f>D80</f>
        <v>(OTHERS 3)</v>
      </c>
      <c r="E116" s="36">
        <f>tblM[[#Totals],[Actual Collections for FY (FJD)]]</f>
        <v>0</v>
      </c>
      <c r="H116" s="20"/>
      <c r="I116" s="20"/>
      <c r="J116" s="20"/>
      <c r="K116" s="20"/>
    </row>
    <row r="117" spans="4:11" ht="18.75" customHeight="1" x14ac:dyDescent="0.25">
      <c r="D117" s="146" t="str">
        <f>D85</f>
        <v>(OTHERS 4)</v>
      </c>
      <c r="E117" s="36">
        <f>tblM2[[#Totals],[Actual Collections for FY (FJD)]]</f>
        <v>0</v>
      </c>
      <c r="H117" s="20"/>
      <c r="I117" s="20"/>
      <c r="J117" s="20"/>
      <c r="K117" s="20"/>
    </row>
    <row r="118" spans="4:11" ht="18.75" customHeight="1" x14ac:dyDescent="0.25">
      <c r="D118" s="146" t="str">
        <f>D89</f>
        <v>(OTHERS 5)</v>
      </c>
      <c r="E118" s="36">
        <f>tblM17[[#Totals],[Actual Collections for FY (FJD)]]</f>
        <v>0</v>
      </c>
      <c r="H118" s="20"/>
      <c r="I118" s="20"/>
      <c r="J118" s="20"/>
      <c r="K118" s="20"/>
    </row>
    <row r="119" spans="4:11" ht="18.75" customHeight="1" x14ac:dyDescent="0.25">
      <c r="D119" s="20" t="s">
        <v>40</v>
      </c>
      <c r="E119" s="20">
        <f>SUBTOTAL(109,tblFrExternal[Column2])</f>
        <v>500000</v>
      </c>
      <c r="H119" s="20"/>
      <c r="I119" s="20"/>
      <c r="J119" s="20"/>
      <c r="K119" s="20"/>
    </row>
    <row r="120" spans="4:11" ht="18.75" customHeight="1" x14ac:dyDescent="0.25">
      <c r="D120" s="147" t="s">
        <v>113</v>
      </c>
      <c r="E120" s="30">
        <f>tblFrExternal[[#Totals],[Column2]]+tblFrInternal[[#Totals],[Column2]]</f>
        <v>620050</v>
      </c>
      <c r="H120" s="20"/>
      <c r="I120" s="20"/>
      <c r="J120" s="20"/>
      <c r="K120" s="20"/>
    </row>
  </sheetData>
  <sheetProtection insertColumns="0"/>
  <mergeCells count="6">
    <mergeCell ref="B1:D1"/>
    <mergeCell ref="D98:E98"/>
    <mergeCell ref="B67:D68"/>
    <mergeCell ref="B50:D51"/>
    <mergeCell ref="B2:C2"/>
    <mergeCell ref="B3:C3"/>
  </mergeCells>
  <phoneticPr fontId="10" type="noConversion"/>
  <dataValidations disablePrompts="1" count="1">
    <dataValidation type="list" allowBlank="1" showInputMessage="1" showErrorMessage="1" sqref="E2" xr:uid="{A73EB74C-0A12-4633-B6C3-288248CF2249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9" r:id="rId3" name="Button 13">
              <controlPr defaultSize="0" print="0" autoFill="0" autoPict="0" macro="[0]!InsertRowAboveTableEnd">
                <anchor moveWithCells="1" sizeWithCells="1">
                  <from>
                    <xdr:col>5</xdr:col>
                    <xdr:colOff>9525</xdr:colOff>
                    <xdr:row>0</xdr:row>
                    <xdr:rowOff>152400</xdr:rowOff>
                  </from>
                  <to>
                    <xdr:col>6</xdr:col>
                    <xdr:colOff>123825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4" name="Button 19">
              <controlPr defaultSize="0" print="0" autoFill="0" autoPict="0" macro="[0]!Save_FinRes">
                <anchor moveWithCells="1" sizeWithCells="1">
                  <from>
                    <xdr:col>6</xdr:col>
                    <xdr:colOff>523875</xdr:colOff>
                    <xdr:row>0</xdr:row>
                    <xdr:rowOff>152400</xdr:rowOff>
                  </from>
                  <to>
                    <xdr:col>7</xdr:col>
                    <xdr:colOff>523875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7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289D-A641-4DA3-8E5E-5468146421A2}">
  <sheetPr codeName="Sheet7">
    <tabColor theme="3"/>
  </sheetPr>
  <dimension ref="A1:AJ112"/>
  <sheetViews>
    <sheetView showGridLines="0" topLeftCell="D1" zoomScale="85" zoomScaleNormal="85" workbookViewId="0">
      <pane ySplit="3" topLeftCell="A80" activePane="bottomLeft" state="frozen"/>
      <selection activeCell="D3" sqref="D3"/>
      <selection pane="bottomLeft" activeCell="K87" sqref="K87:K93"/>
    </sheetView>
  </sheetViews>
  <sheetFormatPr defaultColWidth="12.42578125" defaultRowHeight="15" x14ac:dyDescent="0.25"/>
  <cols>
    <col min="1" max="1" width="3.28515625" style="40" customWidth="1"/>
    <col min="2" max="2" width="5.7109375" style="40" customWidth="1"/>
    <col min="3" max="3" width="10.140625" style="40" customWidth="1"/>
    <col min="4" max="4" width="37.28515625" style="40" customWidth="1"/>
    <col min="5" max="5" width="37.140625" style="40" customWidth="1"/>
    <col min="6" max="6" width="43.85546875" style="40" customWidth="1"/>
    <col min="7" max="7" width="38.28515625" style="40" customWidth="1"/>
    <col min="8" max="9" width="30.42578125" style="40" customWidth="1"/>
    <col min="10" max="10" width="30.5703125" style="40" customWidth="1"/>
    <col min="11" max="11" width="35" style="40" customWidth="1"/>
    <col min="12" max="12" width="29.28515625" style="40" customWidth="1"/>
    <col min="13" max="14" width="36" style="40" customWidth="1"/>
    <col min="15" max="15" width="22.85546875" style="40" customWidth="1"/>
    <col min="16" max="16" width="32.7109375" style="40" customWidth="1"/>
    <col min="17" max="17" width="12.42578125" style="40" customWidth="1"/>
    <col min="18" max="19" width="12.42578125" style="40"/>
    <col min="20" max="34" width="12.42578125" style="40" customWidth="1"/>
    <col min="35" max="35" width="41.85546875" style="58" hidden="1" customWidth="1"/>
    <col min="36" max="16384" width="12.42578125" style="40"/>
  </cols>
  <sheetData>
    <row r="1" spans="1:35" s="43" customFormat="1" ht="35.1" customHeight="1" x14ac:dyDescent="0.25">
      <c r="A1" s="289" t="s">
        <v>370</v>
      </c>
      <c r="B1" s="289"/>
      <c r="C1" s="289"/>
      <c r="D1" s="289"/>
      <c r="F1" s="46" t="s">
        <v>99</v>
      </c>
      <c r="G1" s="47"/>
      <c r="I1" s="48"/>
      <c r="J1" s="49"/>
      <c r="K1" s="49"/>
      <c r="L1" s="49"/>
      <c r="M1" s="49"/>
      <c r="N1" s="49"/>
      <c r="AI1" s="50" t="s">
        <v>72</v>
      </c>
    </row>
    <row r="2" spans="1:35" s="43" customFormat="1" ht="23.25" customHeight="1" x14ac:dyDescent="0.25">
      <c r="A2" s="267" t="s">
        <v>0</v>
      </c>
      <c r="B2" s="267"/>
      <c r="C2" s="267"/>
      <c r="D2" s="51" t="str">
        <f>Master_Input!C6</f>
        <v>2023-2024</v>
      </c>
      <c r="F2" s="52" t="s">
        <v>87</v>
      </c>
      <c r="G2" s="53"/>
      <c r="I2" s="48"/>
      <c r="AI2" s="50" t="s">
        <v>72</v>
      </c>
    </row>
    <row r="3" spans="1:35" s="43" customFormat="1" ht="21" customHeight="1" x14ac:dyDescent="0.25">
      <c r="A3" s="266" t="s">
        <v>27</v>
      </c>
      <c r="B3" s="266"/>
      <c r="C3" s="266"/>
      <c r="D3" s="54" t="str">
        <f>Master_Input!C7</f>
        <v>FJD</v>
      </c>
      <c r="AI3" s="55"/>
    </row>
    <row r="4" spans="1:35" s="56" customFormat="1" ht="15.95" customHeight="1" x14ac:dyDescent="0.25">
      <c r="B4" s="57"/>
      <c r="C4" s="57"/>
      <c r="D4" s="57"/>
      <c r="AI4" s="58"/>
    </row>
    <row r="5" spans="1:35" x14ac:dyDescent="0.25">
      <c r="C5" s="59" t="s">
        <v>1</v>
      </c>
      <c r="D5" s="59" t="s">
        <v>2</v>
      </c>
      <c r="E5" s="59"/>
    </row>
    <row r="6" spans="1:35" x14ac:dyDescent="0.25">
      <c r="C6" s="59"/>
      <c r="D6" s="60" t="s">
        <v>3</v>
      </c>
      <c r="E6" s="59"/>
    </row>
    <row r="7" spans="1:35" x14ac:dyDescent="0.25">
      <c r="B7" s="61"/>
      <c r="C7" s="62" t="s">
        <v>4</v>
      </c>
      <c r="D7" s="263" t="s">
        <v>5</v>
      </c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5"/>
    </row>
    <row r="8" spans="1:35" s="63" customFormat="1" ht="18" customHeight="1" x14ac:dyDescent="0.25">
      <c r="C8" s="64" t="s">
        <v>6</v>
      </c>
      <c r="D8" s="64" t="s">
        <v>7</v>
      </c>
      <c r="E8" s="64" t="s">
        <v>8</v>
      </c>
      <c r="F8" s="64" t="s">
        <v>9</v>
      </c>
      <c r="G8" s="64" t="s">
        <v>73</v>
      </c>
      <c r="H8" s="64" t="s">
        <v>74</v>
      </c>
      <c r="I8" s="64" t="s">
        <v>75</v>
      </c>
      <c r="J8" s="64" t="s">
        <v>80</v>
      </c>
      <c r="K8" s="64" t="s">
        <v>76</v>
      </c>
      <c r="L8" s="64" t="s">
        <v>77</v>
      </c>
      <c r="M8" s="65" t="s">
        <v>78</v>
      </c>
      <c r="N8" s="65" t="s">
        <v>79</v>
      </c>
      <c r="O8" s="64" t="s">
        <v>41</v>
      </c>
      <c r="P8" s="64" t="s">
        <v>10</v>
      </c>
      <c r="AI8" s="58" t="s">
        <v>36</v>
      </c>
    </row>
    <row r="9" spans="1:35" s="63" customFormat="1" x14ac:dyDescent="0.25">
      <c r="C9" s="22"/>
      <c r="D9" s="22"/>
      <c r="E9" s="22"/>
      <c r="F9" s="22">
        <v>247237.49</v>
      </c>
      <c r="G9" s="22"/>
      <c r="H9" s="22"/>
      <c r="I9" s="22"/>
      <c r="J9" s="22"/>
      <c r="K9" s="22"/>
      <c r="L9" s="22"/>
      <c r="M9" s="86">
        <v>0.9</v>
      </c>
      <c r="N9" s="22">
        <f>SUM(F9:L9)*M9</f>
        <v>222513.74100000001</v>
      </c>
      <c r="O9" s="22"/>
      <c r="P9" s="22"/>
      <c r="AI9" s="58"/>
    </row>
    <row r="10" spans="1:35" s="63" customFormat="1" x14ac:dyDescent="0.2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86"/>
      <c r="N10" s="22">
        <f>SUM(F10:L10)*M10</f>
        <v>0</v>
      </c>
      <c r="O10" s="22"/>
      <c r="P10" s="22"/>
      <c r="AI10" s="58"/>
    </row>
    <row r="11" spans="1:35" s="63" customFormat="1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86"/>
      <c r="N11" s="22">
        <f>SUM(F11:L11)*M11</f>
        <v>0</v>
      </c>
      <c r="O11" s="22"/>
      <c r="P11" s="22"/>
      <c r="AI11" s="58"/>
    </row>
    <row r="12" spans="1:35" s="63" customFormat="1" x14ac:dyDescent="0.2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86"/>
      <c r="N12" s="22">
        <f>SUM(F12:L12)*M12</f>
        <v>0</v>
      </c>
      <c r="O12" s="22"/>
      <c r="P12" s="22"/>
      <c r="AI12" s="58"/>
    </row>
    <row r="13" spans="1:35" s="63" customFormat="1" x14ac:dyDescent="0.2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86"/>
      <c r="N13" s="22">
        <f>SUM(F13:L13)*M13</f>
        <v>0</v>
      </c>
      <c r="O13" s="22"/>
      <c r="P13" s="22"/>
      <c r="AI13" s="58"/>
    </row>
    <row r="14" spans="1:35" s="63" customFormat="1" x14ac:dyDescent="0.25"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86"/>
      <c r="N14" s="22">
        <f t="shared" ref="N14:N18" si="0">SUM(F14:L14)*M14</f>
        <v>0</v>
      </c>
      <c r="O14" s="22"/>
      <c r="P14" s="22"/>
      <c r="AI14" s="58"/>
    </row>
    <row r="15" spans="1:35" s="63" customFormat="1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86"/>
      <c r="N15" s="22">
        <f>SUM(F15:L15)*M15</f>
        <v>0</v>
      </c>
      <c r="O15" s="22"/>
      <c r="P15" s="22"/>
      <c r="AI15" s="58"/>
    </row>
    <row r="16" spans="1:35" s="63" customFormat="1" x14ac:dyDescent="0.25"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86"/>
      <c r="N16" s="22">
        <f>SUM(F16:L16)*M16</f>
        <v>0</v>
      </c>
      <c r="O16" s="22"/>
      <c r="P16" s="22"/>
      <c r="AI16" s="58"/>
    </row>
    <row r="17" spans="2:35" s="63" customFormat="1" x14ac:dyDescent="0.25"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86"/>
      <c r="N17" s="22">
        <f>SUM(F17:L17)*M17</f>
        <v>0</v>
      </c>
      <c r="O17" s="22"/>
      <c r="P17" s="22"/>
      <c r="AI17" s="58"/>
    </row>
    <row r="18" spans="2:35" s="63" customFormat="1" x14ac:dyDescent="0.25"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86"/>
      <c r="N18" s="22">
        <f t="shared" si="0"/>
        <v>0</v>
      </c>
      <c r="O18" s="22"/>
      <c r="P18" s="22"/>
      <c r="AI18" s="58"/>
    </row>
    <row r="19" spans="2:35" ht="15.75" thickBot="1" x14ac:dyDescent="0.3">
      <c r="B19" s="61"/>
      <c r="C19" s="17" t="s">
        <v>40</v>
      </c>
      <c r="D19" s="17"/>
      <c r="E19" s="17"/>
      <c r="F19" s="17">
        <f>SUBTOTAL(109,PERSONNEL_REGULAR27[Annual Salary])</f>
        <v>247237.49</v>
      </c>
      <c r="G19" s="17">
        <f>SUBTOTAL(109,PERSONNEL_REGULAR27[Benefit/Contribution (1)])</f>
        <v>0</v>
      </c>
      <c r="H19" s="17">
        <f>SUBTOTAL(109,PERSONNEL_REGULAR27[Benefit/Contribution (2)])</f>
        <v>0</v>
      </c>
      <c r="I19" s="17">
        <f>SUBTOTAL(109,PERSONNEL_REGULAR27[Benefit/Contribution (3)])</f>
        <v>0</v>
      </c>
      <c r="J19" s="17">
        <f>SUBTOTAL(109,PERSONNEL_REGULAR27[Benefit/Contribution (4)])</f>
        <v>0</v>
      </c>
      <c r="K19" s="17">
        <f>SUBTOTAL(109,PERSONNEL_REGULAR27[Benefit/Contribution (5)])</f>
        <v>0</v>
      </c>
      <c r="L19" s="17">
        <f>SUBTOTAL(109,PERSONNEL_REGULAR27[Other Benefits])</f>
        <v>0</v>
      </c>
      <c r="M19" s="17"/>
      <c r="N19" s="17">
        <f>SUBTOTAL(109,PERSONNEL_REGULAR27[Total Yearly Personnel Expense])</f>
        <v>222513.74100000001</v>
      </c>
      <c r="O19" s="17"/>
      <c r="P19" s="17"/>
    </row>
    <row r="20" spans="2:35" ht="15.75" thickTop="1" x14ac:dyDescent="0.25">
      <c r="B20" s="61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R20" s="63"/>
    </row>
    <row r="21" spans="2:35" x14ac:dyDescent="0.25">
      <c r="B21" s="61"/>
      <c r="C21" s="63"/>
      <c r="D21" s="63"/>
      <c r="E21" s="63"/>
      <c r="F21" s="63"/>
      <c r="G21" s="63"/>
      <c r="I21" s="63"/>
      <c r="J21" s="63"/>
      <c r="K21" s="63"/>
      <c r="L21" s="63"/>
      <c r="M21" s="63"/>
      <c r="N21" s="63"/>
      <c r="O21" s="63"/>
      <c r="P21" s="63"/>
    </row>
    <row r="22" spans="2:35" s="63" customFormat="1" ht="18.75" customHeight="1" x14ac:dyDescent="0.25">
      <c r="AI22" s="58"/>
    </row>
    <row r="23" spans="2:35" s="63" customFormat="1" x14ac:dyDescent="0.25">
      <c r="C23" s="62" t="s">
        <v>11</v>
      </c>
      <c r="D23" s="263" t="s">
        <v>46</v>
      </c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5"/>
      <c r="AI23" s="58"/>
    </row>
    <row r="24" spans="2:35" s="63" customFormat="1" ht="14.25" customHeight="1" x14ac:dyDescent="0.25">
      <c r="C24" s="64" t="s">
        <v>6</v>
      </c>
      <c r="D24" s="64" t="s">
        <v>7</v>
      </c>
      <c r="E24" s="64" t="s">
        <v>8</v>
      </c>
      <c r="F24" s="64" t="s">
        <v>9</v>
      </c>
      <c r="G24" s="64" t="s">
        <v>73</v>
      </c>
      <c r="H24" s="64" t="s">
        <v>74</v>
      </c>
      <c r="I24" s="64" t="s">
        <v>75</v>
      </c>
      <c r="J24" s="64" t="s">
        <v>80</v>
      </c>
      <c r="K24" s="64" t="s">
        <v>76</v>
      </c>
      <c r="L24" s="64" t="s">
        <v>77</v>
      </c>
      <c r="M24" s="65" t="s">
        <v>78</v>
      </c>
      <c r="N24" s="65" t="s">
        <v>79</v>
      </c>
      <c r="O24" s="64" t="s">
        <v>41</v>
      </c>
      <c r="P24" s="64" t="s">
        <v>10</v>
      </c>
      <c r="AI24" s="58" t="s">
        <v>36</v>
      </c>
    </row>
    <row r="25" spans="2:35" s="63" customFormat="1" x14ac:dyDescent="0.25"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86"/>
      <c r="N25" s="22">
        <f t="shared" ref="N25:N30" si="1">SUM(F25:L25)*M25</f>
        <v>0</v>
      </c>
      <c r="O25" s="22"/>
      <c r="P25" s="22"/>
      <c r="AI25" s="58"/>
    </row>
    <row r="26" spans="2:35" s="63" customFormat="1" x14ac:dyDescent="0.25"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86"/>
      <c r="N26" s="22">
        <f t="shared" si="1"/>
        <v>0</v>
      </c>
      <c r="O26" s="22"/>
      <c r="P26" s="22"/>
      <c r="AI26" s="58"/>
    </row>
    <row r="27" spans="2:35" s="63" customFormat="1" x14ac:dyDescent="0.25"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86"/>
      <c r="N27" s="22">
        <f t="shared" si="1"/>
        <v>0</v>
      </c>
      <c r="O27" s="22"/>
      <c r="P27" s="22"/>
      <c r="AI27" s="58"/>
    </row>
    <row r="28" spans="2:35" s="63" customFormat="1" x14ac:dyDescent="0.25"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86"/>
      <c r="N28" s="22">
        <f>SUM(F28:L28)*M28</f>
        <v>0</v>
      </c>
      <c r="O28" s="22"/>
      <c r="P28" s="22"/>
      <c r="AI28" s="58"/>
    </row>
    <row r="29" spans="2:35" s="63" customFormat="1" x14ac:dyDescent="0.25"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86"/>
      <c r="N29" s="22">
        <f t="shared" si="1"/>
        <v>0</v>
      </c>
      <c r="O29" s="22"/>
      <c r="P29" s="22"/>
      <c r="AI29" s="58"/>
    </row>
    <row r="30" spans="2:35" s="63" customFormat="1" x14ac:dyDescent="0.25">
      <c r="B30" s="4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86"/>
      <c r="N30" s="22">
        <f t="shared" si="1"/>
        <v>0</v>
      </c>
      <c r="O30" s="22"/>
      <c r="P30" s="22"/>
      <c r="AI30" s="58"/>
    </row>
    <row r="31" spans="2:35" s="63" customFormat="1" ht="15.75" thickBot="1" x14ac:dyDescent="0.3">
      <c r="B31" s="40"/>
      <c r="C31" s="17" t="s">
        <v>40</v>
      </c>
      <c r="D31" s="17"/>
      <c r="E31" s="17"/>
      <c r="F31" s="17">
        <f>SUBTOTAL(109,PERSONNEL_CONTRACTUAL28[Annual Salary])</f>
        <v>0</v>
      </c>
      <c r="G31" s="17">
        <f>SUBTOTAL(109,PERSONNEL_CONTRACTUAL28[Benefit/Contribution (1)])</f>
        <v>0</v>
      </c>
      <c r="H31" s="17">
        <f>SUBTOTAL(109,PERSONNEL_CONTRACTUAL28[Benefit/Contribution (2)])</f>
        <v>0</v>
      </c>
      <c r="I31" s="17">
        <f>SUBTOTAL(109,PERSONNEL_CONTRACTUAL28[Benefit/Contribution (3)])</f>
        <v>0</v>
      </c>
      <c r="J31" s="17">
        <f>SUBTOTAL(109,PERSONNEL_CONTRACTUAL28[Benefit/Contribution (4)])</f>
        <v>0</v>
      </c>
      <c r="K31" s="17">
        <f>SUBTOTAL(109,PERSONNEL_CONTRACTUAL28[Benefit/Contribution (5)])</f>
        <v>0</v>
      </c>
      <c r="L31" s="17">
        <f>SUBTOTAL(109,PERSONNEL_CONTRACTUAL28[Other Benefits])</f>
        <v>0</v>
      </c>
      <c r="M31" s="17"/>
      <c r="N31" s="17">
        <f>SUBTOTAL(109,PERSONNEL_CONTRACTUAL28[Total Yearly Personnel Expense])</f>
        <v>0</v>
      </c>
      <c r="O31" s="17"/>
      <c r="P31" s="17"/>
      <c r="AI31" s="58"/>
    </row>
    <row r="32" spans="2:35" s="63" customFormat="1" ht="15.75" thickTop="1" x14ac:dyDescent="0.25">
      <c r="B32" s="40"/>
      <c r="AI32" s="58"/>
    </row>
    <row r="33" spans="2:35" s="63" customFormat="1" x14ac:dyDescent="0.25">
      <c r="B33" s="40"/>
      <c r="AI33" s="58"/>
    </row>
    <row r="34" spans="2:35" s="63" customFormat="1" x14ac:dyDescent="0.25">
      <c r="AI34" s="58"/>
    </row>
    <row r="35" spans="2:35" s="63" customFormat="1" x14ac:dyDescent="0.25">
      <c r="G35" s="40"/>
      <c r="AI35" s="58"/>
    </row>
    <row r="36" spans="2:35" s="63" customFormat="1" x14ac:dyDescent="0.25">
      <c r="C36" s="59" t="s">
        <v>1</v>
      </c>
      <c r="D36" s="59" t="s">
        <v>2</v>
      </c>
      <c r="E36" s="59"/>
      <c r="AI36" s="58"/>
    </row>
    <row r="37" spans="2:35" s="63" customFormat="1" x14ac:dyDescent="0.25">
      <c r="C37" s="59"/>
      <c r="D37" s="60" t="s">
        <v>50</v>
      </c>
      <c r="E37" s="59"/>
      <c r="AI37" s="58"/>
    </row>
    <row r="38" spans="2:35" s="63" customFormat="1" x14ac:dyDescent="0.25">
      <c r="C38" s="66" t="s">
        <v>6</v>
      </c>
      <c r="D38" s="23" t="s">
        <v>12</v>
      </c>
      <c r="E38" s="23" t="s">
        <v>13</v>
      </c>
      <c r="F38" s="67" t="s">
        <v>10</v>
      </c>
      <c r="AI38" s="58" t="s">
        <v>36</v>
      </c>
    </row>
    <row r="39" spans="2:35" s="63" customFormat="1" x14ac:dyDescent="0.25">
      <c r="C39" s="22"/>
      <c r="D39" s="68" t="s">
        <v>52</v>
      </c>
      <c r="E39" s="22">
        <v>355761.23</v>
      </c>
      <c r="F39" s="22"/>
      <c r="AI39" s="58"/>
    </row>
    <row r="40" spans="2:35" s="63" customFormat="1" x14ac:dyDescent="0.25">
      <c r="C40" s="22"/>
      <c r="D40" s="68" t="s">
        <v>53</v>
      </c>
      <c r="E40" s="22"/>
      <c r="F40" s="22"/>
      <c r="AI40" s="58"/>
    </row>
    <row r="41" spans="2:35" s="63" customFormat="1" x14ac:dyDescent="0.25">
      <c r="C41" s="22"/>
      <c r="D41" s="68" t="s">
        <v>54</v>
      </c>
      <c r="E41" s="22"/>
      <c r="F41" s="22"/>
      <c r="AI41" s="58"/>
    </row>
    <row r="42" spans="2:35" s="63" customFormat="1" x14ac:dyDescent="0.25">
      <c r="C42" s="22"/>
      <c r="D42" s="68" t="s">
        <v>55</v>
      </c>
      <c r="E42" s="22"/>
      <c r="F42" s="22"/>
      <c r="AI42" s="58"/>
    </row>
    <row r="43" spans="2:35" s="63" customFormat="1" x14ac:dyDescent="0.25">
      <c r="C43" s="22"/>
      <c r="D43" s="68" t="s">
        <v>56</v>
      </c>
      <c r="E43" s="22"/>
      <c r="F43" s="22"/>
      <c r="AI43" s="58"/>
    </row>
    <row r="44" spans="2:35" s="63" customFormat="1" x14ac:dyDescent="0.25">
      <c r="C44" s="22"/>
      <c r="D44" s="40" t="s">
        <v>57</v>
      </c>
      <c r="E44" s="22"/>
      <c r="F44" s="22"/>
      <c r="AI44" s="58"/>
    </row>
    <row r="45" spans="2:35" s="63" customFormat="1" x14ac:dyDescent="0.25">
      <c r="C45" s="22"/>
      <c r="D45" s="40" t="s">
        <v>58</v>
      </c>
      <c r="E45" s="22"/>
      <c r="F45" s="22"/>
      <c r="AI45" s="58"/>
    </row>
    <row r="46" spans="2:35" s="63" customFormat="1" x14ac:dyDescent="0.25">
      <c r="C46" s="22"/>
      <c r="D46" s="40" t="s">
        <v>59</v>
      </c>
      <c r="E46" s="22"/>
      <c r="F46" s="22"/>
      <c r="AI46" s="58"/>
    </row>
    <row r="47" spans="2:35" s="63" customFormat="1" x14ac:dyDescent="0.25">
      <c r="C47" s="22"/>
      <c r="D47" s="40" t="s">
        <v>60</v>
      </c>
      <c r="E47" s="22"/>
      <c r="F47" s="22"/>
      <c r="AI47" s="58"/>
    </row>
    <row r="48" spans="2:35" s="63" customFormat="1" x14ac:dyDescent="0.25">
      <c r="C48" s="22"/>
      <c r="D48" s="40" t="s">
        <v>61</v>
      </c>
      <c r="E48" s="22"/>
      <c r="F48" s="22"/>
      <c r="AI48" s="58"/>
    </row>
    <row r="49" spans="2:35" s="63" customFormat="1" x14ac:dyDescent="0.25">
      <c r="C49" s="22"/>
      <c r="D49" s="40" t="s">
        <v>62</v>
      </c>
      <c r="E49" s="22"/>
      <c r="F49" s="22"/>
      <c r="AI49" s="58"/>
    </row>
    <row r="50" spans="2:35" s="63" customFormat="1" x14ac:dyDescent="0.25">
      <c r="C50" s="22"/>
      <c r="D50" s="40" t="s">
        <v>63</v>
      </c>
      <c r="E50" s="22"/>
      <c r="F50" s="22"/>
      <c r="AI50" s="58"/>
    </row>
    <row r="51" spans="2:35" s="63" customFormat="1" x14ac:dyDescent="0.25">
      <c r="C51" s="22"/>
      <c r="D51" s="40" t="s">
        <v>64</v>
      </c>
      <c r="E51" s="22"/>
      <c r="F51" s="22"/>
      <c r="AI51" s="58"/>
    </row>
    <row r="52" spans="2:35" s="63" customFormat="1" x14ac:dyDescent="0.25">
      <c r="C52" s="22"/>
      <c r="D52" s="68" t="s">
        <v>66</v>
      </c>
      <c r="E52" s="22"/>
      <c r="F52" s="22"/>
      <c r="AI52" s="58"/>
    </row>
    <row r="53" spans="2:35" s="63" customFormat="1" x14ac:dyDescent="0.25">
      <c r="C53" s="22"/>
      <c r="D53" s="68" t="s">
        <v>67</v>
      </c>
      <c r="E53" s="22"/>
      <c r="F53" s="22"/>
      <c r="AI53" s="58"/>
    </row>
    <row r="54" spans="2:35" s="63" customFormat="1" x14ac:dyDescent="0.25">
      <c r="C54" s="22"/>
      <c r="D54" s="68" t="s">
        <v>68</v>
      </c>
      <c r="E54" s="22"/>
      <c r="F54" s="22"/>
      <c r="AI54" s="58"/>
    </row>
    <row r="55" spans="2:35" s="63" customFormat="1" x14ac:dyDescent="0.25">
      <c r="C55" s="22"/>
      <c r="D55" s="68" t="s">
        <v>69</v>
      </c>
      <c r="E55" s="22"/>
      <c r="F55" s="22"/>
      <c r="AI55" s="58"/>
    </row>
    <row r="56" spans="2:35" s="63" customFormat="1" x14ac:dyDescent="0.25">
      <c r="C56" s="22"/>
      <c r="D56" s="68" t="s">
        <v>70</v>
      </c>
      <c r="E56" s="22"/>
      <c r="F56" s="22"/>
      <c r="AI56" s="58"/>
    </row>
    <row r="57" spans="2:35" s="63" customFormat="1" x14ac:dyDescent="0.25">
      <c r="C57" s="22"/>
      <c r="D57" s="68" t="s">
        <v>65</v>
      </c>
      <c r="E57" s="22"/>
      <c r="F57" s="22"/>
      <c r="AI57" s="58"/>
    </row>
    <row r="58" spans="2:35" s="63" customFormat="1" x14ac:dyDescent="0.25">
      <c r="C58" s="22"/>
      <c r="D58" s="68" t="s">
        <v>65</v>
      </c>
      <c r="E58" s="22"/>
      <c r="F58" s="22"/>
      <c r="AI58" s="58"/>
    </row>
    <row r="59" spans="2:35" s="63" customFormat="1" x14ac:dyDescent="0.25">
      <c r="C59" s="22"/>
      <c r="D59" s="68" t="s">
        <v>65</v>
      </c>
      <c r="E59" s="22"/>
      <c r="F59" s="22"/>
      <c r="AI59" s="58"/>
    </row>
    <row r="60" spans="2:35" s="63" customFormat="1" x14ac:dyDescent="0.25">
      <c r="C60" s="22"/>
      <c r="D60" s="68" t="s">
        <v>65</v>
      </c>
      <c r="E60" s="22"/>
      <c r="F60" s="22"/>
      <c r="AI60" s="58"/>
    </row>
    <row r="61" spans="2:35" s="63" customFormat="1" x14ac:dyDescent="0.25">
      <c r="C61" s="22"/>
      <c r="D61" s="68" t="s">
        <v>65</v>
      </c>
      <c r="E61" s="22"/>
      <c r="F61" s="22"/>
      <c r="AI61" s="58"/>
    </row>
    <row r="62" spans="2:35" s="63" customFormat="1" x14ac:dyDescent="0.25">
      <c r="C62" s="22"/>
      <c r="D62" s="68" t="s">
        <v>65</v>
      </c>
      <c r="E62" s="22"/>
      <c r="F62" s="22"/>
      <c r="AI62" s="58"/>
    </row>
    <row r="63" spans="2:35" s="63" customFormat="1" x14ac:dyDescent="0.25">
      <c r="B63" s="40"/>
      <c r="C63" s="22"/>
      <c r="D63" s="68" t="s">
        <v>65</v>
      </c>
      <c r="E63" s="22"/>
      <c r="F63" s="22"/>
      <c r="AI63" s="58"/>
    </row>
    <row r="64" spans="2:35" s="63" customFormat="1" x14ac:dyDescent="0.25">
      <c r="B64" s="40"/>
      <c r="C64" s="22"/>
      <c r="D64" s="68" t="s">
        <v>65</v>
      </c>
      <c r="E64" s="22"/>
      <c r="F64" s="22"/>
      <c r="AI64" s="58"/>
    </row>
    <row r="65" spans="2:35" s="63" customFormat="1" x14ac:dyDescent="0.25">
      <c r="B65" s="40"/>
      <c r="C65" s="22"/>
      <c r="D65" s="68" t="s">
        <v>65</v>
      </c>
      <c r="E65" s="22"/>
      <c r="F65" s="22"/>
      <c r="AI65" s="58"/>
    </row>
    <row r="66" spans="2:35" s="63" customFormat="1" ht="15.75" thickBot="1" x14ac:dyDescent="0.3">
      <c r="B66" s="40"/>
      <c r="C66" s="17" t="s">
        <v>40</v>
      </c>
      <c r="D66" s="17"/>
      <c r="E66" s="17">
        <f>SUBTOTAL(109,OPEX_COSTS7[Total Annual Cost])</f>
        <v>355761.23</v>
      </c>
      <c r="F66" s="17"/>
      <c r="AI66" s="58"/>
    </row>
    <row r="67" spans="2:35" s="63" customFormat="1" ht="15.75" thickTop="1" x14ac:dyDescent="0.25">
      <c r="B67" s="40"/>
      <c r="AI67" s="58"/>
    </row>
    <row r="68" spans="2:35" s="63" customFormat="1" x14ac:dyDescent="0.25">
      <c r="AI68" s="58"/>
    </row>
    <row r="69" spans="2:35" s="63" customFormat="1" x14ac:dyDescent="0.25">
      <c r="AI69" s="58"/>
    </row>
    <row r="70" spans="2:35" s="63" customFormat="1" x14ac:dyDescent="0.25">
      <c r="C70" s="59" t="s">
        <v>1</v>
      </c>
      <c r="D70" s="59" t="s">
        <v>2</v>
      </c>
      <c r="E70" s="59"/>
      <c r="AI70" s="58"/>
    </row>
    <row r="71" spans="2:35" s="63" customFormat="1" x14ac:dyDescent="0.25">
      <c r="C71" s="59"/>
      <c r="D71" s="60" t="s">
        <v>81</v>
      </c>
      <c r="E71" s="59"/>
      <c r="AI71" s="58"/>
    </row>
    <row r="72" spans="2:35" s="63" customFormat="1" x14ac:dyDescent="0.25">
      <c r="C72" s="66" t="s">
        <v>28</v>
      </c>
      <c r="D72" s="23" t="s">
        <v>12</v>
      </c>
      <c r="E72" s="23" t="s">
        <v>14</v>
      </c>
      <c r="F72" s="23" t="s">
        <v>15</v>
      </c>
      <c r="G72" s="23" t="s">
        <v>13</v>
      </c>
      <c r="H72" s="67" t="s">
        <v>10</v>
      </c>
      <c r="AI72" s="58" t="s">
        <v>36</v>
      </c>
    </row>
    <row r="73" spans="2:35" s="63" customFormat="1" x14ac:dyDescent="0.25">
      <c r="C73" s="22"/>
      <c r="D73" s="22"/>
      <c r="E73" s="22"/>
      <c r="F73" s="22"/>
      <c r="G73" s="22">
        <f>OTHER_COST24[[#This Row],[Cost per Unit]]*OTHER_COST24[[#This Row],[Units]]</f>
        <v>0</v>
      </c>
      <c r="H73" s="22"/>
      <c r="AI73" s="58"/>
    </row>
    <row r="74" spans="2:35" s="63" customFormat="1" x14ac:dyDescent="0.25">
      <c r="C74" s="22"/>
      <c r="D74" s="22"/>
      <c r="E74" s="22"/>
      <c r="F74" s="22"/>
      <c r="G74" s="22">
        <f>OTHER_COST24[[#This Row],[Cost per Unit]]*OTHER_COST24[[#This Row],[Units]]</f>
        <v>0</v>
      </c>
      <c r="H74" s="22"/>
      <c r="AI74" s="58"/>
    </row>
    <row r="75" spans="2:35" s="63" customFormat="1" x14ac:dyDescent="0.25">
      <c r="C75" s="22"/>
      <c r="D75" s="22"/>
      <c r="E75" s="22"/>
      <c r="F75" s="22"/>
      <c r="G75" s="22">
        <f>OTHER_COST24[[#This Row],[Cost per Unit]]*OTHER_COST24[[#This Row],[Units]]</f>
        <v>0</v>
      </c>
      <c r="H75" s="22"/>
      <c r="AI75" s="58"/>
    </row>
    <row r="76" spans="2:35" s="63" customFormat="1" x14ac:dyDescent="0.25">
      <c r="C76" s="22"/>
      <c r="D76" s="22"/>
      <c r="E76" s="22"/>
      <c r="F76" s="22"/>
      <c r="G76" s="22">
        <f>OTHER_COST24[[#This Row],[Cost per Unit]]*OTHER_COST24[[#This Row],[Units]]</f>
        <v>0</v>
      </c>
      <c r="H76" s="22"/>
      <c r="AI76" s="58"/>
    </row>
    <row r="77" spans="2:35" s="63" customFormat="1" x14ac:dyDescent="0.25">
      <c r="B77" s="40"/>
      <c r="C77" s="22"/>
      <c r="D77" s="22"/>
      <c r="E77" s="22"/>
      <c r="F77" s="22"/>
      <c r="G77" s="22">
        <f>OTHER_COST24[[#This Row],[Cost per Unit]]*OTHER_COST24[[#This Row],[Units]]</f>
        <v>0</v>
      </c>
      <c r="H77" s="22"/>
      <c r="AI77" s="58"/>
    </row>
    <row r="78" spans="2:35" s="63" customFormat="1" x14ac:dyDescent="0.25">
      <c r="B78" s="40"/>
      <c r="C78" s="22"/>
      <c r="D78" s="22"/>
      <c r="E78" s="22"/>
      <c r="F78" s="22"/>
      <c r="G78" s="22">
        <f>OTHER_COST24[[#This Row],[Cost per Unit]]*OTHER_COST24[[#This Row],[Units]]</f>
        <v>0</v>
      </c>
      <c r="H78" s="22"/>
      <c r="AI78" s="58"/>
    </row>
    <row r="79" spans="2:35" s="63" customFormat="1" x14ac:dyDescent="0.25">
      <c r="B79" s="40"/>
      <c r="C79" s="22"/>
      <c r="D79" s="22"/>
      <c r="E79" s="22"/>
      <c r="F79" s="22"/>
      <c r="G79" s="22">
        <f t="shared" ref="G79" si="2">E79*F79</f>
        <v>0</v>
      </c>
      <c r="H79" s="22"/>
      <c r="AI79" s="58"/>
    </row>
    <row r="80" spans="2:35" s="63" customFormat="1" ht="15.75" thickBot="1" x14ac:dyDescent="0.3">
      <c r="B80" s="40"/>
      <c r="C80" s="69" t="s">
        <v>40</v>
      </c>
      <c r="D80" s="69"/>
      <c r="E80" s="69"/>
      <c r="F80" s="69"/>
      <c r="G80" s="69">
        <f>SUBTOTAL(109,OTHER_COST24[Total Annual Cost])</f>
        <v>0</v>
      </c>
      <c r="H80" s="69"/>
      <c r="AI80" s="58"/>
    </row>
    <row r="81" spans="2:36" s="63" customFormat="1" ht="15.75" thickTop="1" x14ac:dyDescent="0.25">
      <c r="B81" s="40"/>
      <c r="AI81" s="58"/>
    </row>
    <row r="82" spans="2:36" s="63" customFormat="1" x14ac:dyDescent="0.25">
      <c r="B82" s="40"/>
      <c r="AI82" s="58"/>
    </row>
    <row r="83" spans="2:36" s="63" customFormat="1" x14ac:dyDescent="0.25">
      <c r="AI83" s="58"/>
    </row>
    <row r="84" spans="2:36" s="63" customFormat="1" x14ac:dyDescent="0.25">
      <c r="C84" s="59" t="s">
        <v>1</v>
      </c>
      <c r="D84" s="59" t="s">
        <v>2</v>
      </c>
      <c r="E84" s="59"/>
      <c r="AI84" s="58"/>
    </row>
    <row r="85" spans="2:36" s="63" customFormat="1" x14ac:dyDescent="0.25">
      <c r="C85" s="59"/>
      <c r="D85" s="60" t="s">
        <v>16</v>
      </c>
      <c r="E85" s="59"/>
      <c r="AI85" s="58"/>
    </row>
    <row r="86" spans="2:36" s="70" customFormat="1" ht="33" customHeight="1" x14ac:dyDescent="0.25">
      <c r="C86" s="71" t="s">
        <v>17</v>
      </c>
      <c r="D86" s="24" t="s">
        <v>12</v>
      </c>
      <c r="E86" s="24" t="s">
        <v>18</v>
      </c>
      <c r="F86" s="24" t="s">
        <v>19</v>
      </c>
      <c r="G86" s="24" t="s">
        <v>20</v>
      </c>
      <c r="H86" s="24" t="s">
        <v>21</v>
      </c>
      <c r="I86" s="24" t="s">
        <v>22</v>
      </c>
      <c r="J86" s="24" t="s">
        <v>23</v>
      </c>
      <c r="K86" s="24" t="s">
        <v>24</v>
      </c>
      <c r="L86" s="24" t="s">
        <v>364</v>
      </c>
      <c r="M86" s="24" t="s">
        <v>25</v>
      </c>
      <c r="N86" s="72" t="s">
        <v>10</v>
      </c>
      <c r="AJ86" s="73" t="s">
        <v>36</v>
      </c>
    </row>
    <row r="87" spans="2:36" s="63" customFormat="1" x14ac:dyDescent="0.25">
      <c r="C87" s="22"/>
      <c r="D87" s="22"/>
      <c r="E87" s="248">
        <v>2010</v>
      </c>
      <c r="F87" s="22">
        <v>100000</v>
      </c>
      <c r="G87" s="22"/>
      <c r="H87" s="22">
        <f>DEPRECIATION25[[#This Row],[Initial Cost If Purchased or Value of Granted Asset]]-DEPRECIATION25[[#This Row],[Salvage Value]]</f>
        <v>100000</v>
      </c>
      <c r="I87" s="248">
        <v>10</v>
      </c>
      <c r="J87" s="22">
        <v>1</v>
      </c>
      <c r="K87" s="22">
        <f>IFERROR(DEPRECIATION25[[#This Row],[Depreciable Cost]]/DEPRECIATION25[[#This Row],[Useful Life]], 0)</f>
        <v>10000</v>
      </c>
      <c r="L87" s="22" t="s">
        <v>28</v>
      </c>
      <c r="M87" s="22">
        <f>IF(DEPRECIATION25[[#This Row],[Exceeded useful life]]="YES",0,IFERROR(DEPRECIATION25[[#This Row],[Number of Assets]]*DEPRECIATION25[[#This Row],[Annual Depreciation]],0))</f>
        <v>10000</v>
      </c>
      <c r="N87" s="22"/>
      <c r="AJ87" s="58"/>
    </row>
    <row r="88" spans="2:36" s="63" customFormat="1" x14ac:dyDescent="0.25">
      <c r="C88" s="22"/>
      <c r="D88" s="22"/>
      <c r="E88" s="248"/>
      <c r="F88" s="22"/>
      <c r="G88" s="22"/>
      <c r="H88" s="22">
        <f>DEPRECIATION25[[#This Row],[Initial Cost If Purchased or Value of Granted Asset]]-DEPRECIATION25[[#This Row],[Salvage Value]]</f>
        <v>0</v>
      </c>
      <c r="I88" s="248"/>
      <c r="J88" s="22"/>
      <c r="K88" s="22">
        <f>IFERROR(DEPRECIATION25[[#This Row],[Depreciable Cost]]/DEPRECIATION25[[#This Row],[Useful Life]], 0)</f>
        <v>0</v>
      </c>
      <c r="L88" s="22" t="s">
        <v>28</v>
      </c>
      <c r="M88" s="22">
        <f>IF(DEPRECIATION25[[#This Row],[Exceeded useful life]]="YES",0,IFERROR(DEPRECIATION25[[#This Row],[Number of Assets]]*DEPRECIATION25[[#This Row],[Annual Depreciation]],0))</f>
        <v>0</v>
      </c>
      <c r="N88" s="22"/>
      <c r="AJ88" s="58"/>
    </row>
    <row r="89" spans="2:36" s="63" customFormat="1" x14ac:dyDescent="0.25">
      <c r="B89" s="40"/>
      <c r="C89" s="22"/>
      <c r="D89" s="22"/>
      <c r="E89" s="248"/>
      <c r="F89" s="22"/>
      <c r="G89" s="22"/>
      <c r="H89" s="22">
        <f>DEPRECIATION25[[#This Row],[Initial Cost If Purchased or Value of Granted Asset]]-DEPRECIATION25[[#This Row],[Salvage Value]]</f>
        <v>0</v>
      </c>
      <c r="I89" s="248"/>
      <c r="J89" s="22"/>
      <c r="K89" s="22">
        <f>IFERROR(DEPRECIATION25[[#This Row],[Depreciable Cost]]/DEPRECIATION25[[#This Row],[Useful Life]], 0)</f>
        <v>0</v>
      </c>
      <c r="L89" s="22" t="s">
        <v>28</v>
      </c>
      <c r="M89" s="22">
        <f>IF(DEPRECIATION25[[#This Row],[Exceeded useful life]]="YES",0,IFERROR(DEPRECIATION25[[#This Row],[Number of Assets]]*DEPRECIATION25[[#This Row],[Annual Depreciation]],0))</f>
        <v>0</v>
      </c>
      <c r="N89" s="22"/>
      <c r="AJ89" s="58"/>
    </row>
    <row r="90" spans="2:36" s="63" customFormat="1" x14ac:dyDescent="0.25">
      <c r="B90" s="40"/>
      <c r="C90" s="22"/>
      <c r="D90" s="22"/>
      <c r="E90" s="248"/>
      <c r="F90" s="22"/>
      <c r="G90" s="22"/>
      <c r="H90" s="22">
        <f>DEPRECIATION25[[#This Row],[Initial Cost If Purchased or Value of Granted Asset]]-DEPRECIATION25[[#This Row],[Salvage Value]]</f>
        <v>0</v>
      </c>
      <c r="I90" s="248"/>
      <c r="J90" s="22"/>
      <c r="K90" s="22">
        <f>IFERROR(DEPRECIATION25[[#This Row],[Depreciable Cost]]/DEPRECIATION25[[#This Row],[Useful Life]], 0)</f>
        <v>0</v>
      </c>
      <c r="L90" s="22" t="s">
        <v>28</v>
      </c>
      <c r="M90" s="22">
        <f>IF(DEPRECIATION25[[#This Row],[Exceeded useful life]]="YES",0,IFERROR(DEPRECIATION25[[#This Row],[Number of Assets]]*DEPRECIATION25[[#This Row],[Annual Depreciation]],0))</f>
        <v>0</v>
      </c>
      <c r="N90" s="22"/>
      <c r="AJ90" s="58"/>
    </row>
    <row r="91" spans="2:36" s="63" customFormat="1" x14ac:dyDescent="0.25">
      <c r="B91" s="40"/>
      <c r="C91" s="22"/>
      <c r="D91" s="22"/>
      <c r="E91" s="248"/>
      <c r="F91" s="22"/>
      <c r="G91" s="22"/>
      <c r="H91" s="22">
        <f>DEPRECIATION25[[#This Row],[Initial Cost If Purchased or Value of Granted Asset]]-DEPRECIATION25[[#This Row],[Salvage Value]]</f>
        <v>0</v>
      </c>
      <c r="I91" s="248"/>
      <c r="J91" s="22"/>
      <c r="K91" s="22">
        <f>IFERROR(DEPRECIATION25[[#This Row],[Depreciable Cost]]/DEPRECIATION25[[#This Row],[Useful Life]], 0)</f>
        <v>0</v>
      </c>
      <c r="L91" s="22" t="s">
        <v>28</v>
      </c>
      <c r="M91" s="22">
        <f>IF(DEPRECIATION25[[#This Row],[Exceeded useful life]]="YES",0,IFERROR(DEPRECIATION25[[#This Row],[Number of Assets]]*DEPRECIATION25[[#This Row],[Annual Depreciation]],0))</f>
        <v>0</v>
      </c>
      <c r="N91" s="22"/>
      <c r="AJ91" s="58"/>
    </row>
    <row r="92" spans="2:36" s="63" customFormat="1" x14ac:dyDescent="0.25">
      <c r="B92" s="40"/>
      <c r="C92" s="22"/>
      <c r="D92" s="22"/>
      <c r="E92" s="248"/>
      <c r="F92" s="22"/>
      <c r="G92" s="22"/>
      <c r="H92" s="22">
        <f>DEPRECIATION25[[#This Row],[Initial Cost If Purchased or Value of Granted Asset]]-DEPRECIATION25[[#This Row],[Salvage Value]]</f>
        <v>0</v>
      </c>
      <c r="I92" s="248"/>
      <c r="J92" s="22"/>
      <c r="K92" s="22">
        <f>IFERROR(DEPRECIATION25[[#This Row],[Depreciable Cost]]/DEPRECIATION25[[#This Row],[Useful Life]], 0)</f>
        <v>0</v>
      </c>
      <c r="L92" s="22" t="s">
        <v>28</v>
      </c>
      <c r="M92" s="22">
        <f>IF(DEPRECIATION25[[#This Row],[Exceeded useful life]]="YES",0,IFERROR(DEPRECIATION25[[#This Row],[Number of Assets]]*DEPRECIATION25[[#This Row],[Annual Depreciation]],0))</f>
        <v>0</v>
      </c>
      <c r="N92" s="22"/>
      <c r="AJ92" s="58"/>
    </row>
    <row r="93" spans="2:36" s="63" customFormat="1" x14ac:dyDescent="0.25">
      <c r="B93" s="40"/>
      <c r="C93" s="22"/>
      <c r="D93" s="22"/>
      <c r="E93" s="248"/>
      <c r="F93" s="22"/>
      <c r="G93" s="22"/>
      <c r="H93" s="22">
        <f>DEPRECIATION25[[#This Row],[Initial Cost If Purchased or Value of Granted Asset]]-DEPRECIATION25[[#This Row],[Salvage Value]]</f>
        <v>0</v>
      </c>
      <c r="I93" s="248"/>
      <c r="J93" s="22"/>
      <c r="K93" s="22">
        <f>IFERROR(DEPRECIATION25[[#This Row],[Depreciable Cost]]/DEPRECIATION25[[#This Row],[Useful Life]], 0)</f>
        <v>0</v>
      </c>
      <c r="L93" s="22" t="s">
        <v>28</v>
      </c>
      <c r="M93" s="22">
        <f>IF(DEPRECIATION25[[#This Row],[Exceeded useful life]]="YES",0,IFERROR(DEPRECIATION25[[#This Row],[Number of Assets]]*DEPRECIATION25[[#This Row],[Annual Depreciation]],0))</f>
        <v>0</v>
      </c>
      <c r="N93" s="22"/>
      <c r="AJ93" s="58"/>
    </row>
    <row r="94" spans="2:36" s="63" customFormat="1" ht="15.75" thickBot="1" x14ac:dyDescent="0.3">
      <c r="B94" s="40"/>
      <c r="C94" s="17" t="s">
        <v>40</v>
      </c>
      <c r="D94" s="17"/>
      <c r="E94" s="17"/>
      <c r="F94" s="17"/>
      <c r="G94" s="17"/>
      <c r="H94" s="17">
        <f>SUBTOTAL(109,DEPRECIATION25[Depreciable Cost])</f>
        <v>100000</v>
      </c>
      <c r="I94" s="17"/>
      <c r="J94" s="17"/>
      <c r="K94" s="17"/>
      <c r="L94" s="17"/>
      <c r="M94" s="17">
        <f>SUBTOTAL(109,DEPRECIATION25[Total Depreciation])</f>
        <v>10000</v>
      </c>
      <c r="N94" s="17"/>
      <c r="AJ94" s="58"/>
    </row>
    <row r="95" spans="2:36" s="63" customFormat="1" ht="15.75" thickTop="1" x14ac:dyDescent="0.25">
      <c r="AI95" s="58"/>
    </row>
    <row r="96" spans="2:36" s="63" customFormat="1" x14ac:dyDescent="0.25">
      <c r="AI96" s="58"/>
    </row>
    <row r="97" spans="4:35" s="63" customFormat="1" x14ac:dyDescent="0.25">
      <c r="J97" s="40"/>
      <c r="AI97" s="58"/>
    </row>
    <row r="101" spans="4:35" ht="18.75" x14ac:dyDescent="0.25">
      <c r="D101" s="74" t="s">
        <v>144</v>
      </c>
      <c r="E101" s="75" t="str">
        <f>A1</f>
        <v>C&amp;T: Town Boundary</v>
      </c>
    </row>
    <row r="102" spans="4:35" ht="20.25" customHeight="1" x14ac:dyDescent="0.25">
      <c r="D102" s="76" t="s">
        <v>49</v>
      </c>
      <c r="E102" s="42">
        <f>tblSummaryCash29[[#Totals],[(HIDDEN)2]]</f>
        <v>578274.97100000002</v>
      </c>
    </row>
    <row r="103" spans="4:35" ht="15.75" hidden="1" customHeight="1" x14ac:dyDescent="0.25">
      <c r="D103" s="77" t="s">
        <v>142</v>
      </c>
      <c r="E103" s="77" t="s">
        <v>143</v>
      </c>
      <c r="AG103" s="58"/>
      <c r="AI103" s="40"/>
    </row>
    <row r="104" spans="4:35" ht="18.75" x14ac:dyDescent="0.25">
      <c r="D104" s="78" t="s">
        <v>47</v>
      </c>
      <c r="E104" s="79">
        <f>PERSONNEL_REGULAR27[[#Totals],[Total Yearly Personnel Expense]]+PERSONNEL_CONTRACTUAL28[[#Totals],[Total Yearly Personnel Expense]]</f>
        <v>222513.74100000001</v>
      </c>
      <c r="G104" s="87"/>
      <c r="AG104" s="58"/>
      <c r="AI104" s="40"/>
    </row>
    <row r="105" spans="4:35" s="81" customFormat="1" ht="18.75" x14ac:dyDescent="0.25">
      <c r="D105" s="78" t="s">
        <v>82</v>
      </c>
      <c r="E105" s="80">
        <f>SUM(
SUBTOTAL(109,OPEX_COSTS7[Total Annual Cost]),
SUBTOTAL(109,OTHER_COST24[Total Annual Cost])
)</f>
        <v>355761.23</v>
      </c>
      <c r="AG105" s="58"/>
    </row>
    <row r="106" spans="4:35" s="81" customFormat="1" ht="18.75" hidden="1" x14ac:dyDescent="0.25">
      <c r="D106" s="82" t="s">
        <v>141</v>
      </c>
      <c r="E106" s="83">
        <f>PERSONNEL_REGULAR27[[#Totals],[Total Yearly Personnel Expense]]+PERSONNEL_CONTRACTUAL28[[#Totals],[Total Yearly Personnel Expense]]+SUBTOTAL(109,OPEX_COSTS7[Total Annual Cost])+
SUBTOTAL(109,OTHER_COST24[Total Annual Cost])</f>
        <v>578274.97100000002</v>
      </c>
      <c r="AG106" s="58" t="s">
        <v>120</v>
      </c>
    </row>
    <row r="107" spans="4:35" hidden="1" x14ac:dyDescent="0.25">
      <c r="D107" s="84" t="s">
        <v>142</v>
      </c>
      <c r="E107" s="84" t="s">
        <v>143</v>
      </c>
    </row>
    <row r="108" spans="4:35" ht="18.75" x14ac:dyDescent="0.25">
      <c r="D108" s="76" t="s">
        <v>48</v>
      </c>
      <c r="E108" s="42">
        <f>DEPRECIATION25[[#Totals],[Total Depreciation]]</f>
        <v>10000</v>
      </c>
      <c r="AI108" s="58" t="s">
        <v>156</v>
      </c>
    </row>
    <row r="109" spans="4:35" ht="18.75" hidden="1" x14ac:dyDescent="0.25">
      <c r="D109" s="85" t="s">
        <v>141</v>
      </c>
      <c r="E109" s="39">
        <f>SUBTOTAL(109,tblSummaryNonCash30[(HIDDEN)2])</f>
        <v>10000</v>
      </c>
    </row>
    <row r="110" spans="4:35" x14ac:dyDescent="0.25">
      <c r="D110" s="41"/>
      <c r="E110" s="41">
        <f>tblSummaryCash29[[#Totals],[(HIDDEN)2]]+tblSummaryNonCash30[[#Totals],[(HIDDEN)2]]</f>
        <v>588274.97100000002</v>
      </c>
    </row>
    <row r="112" spans="4:35" ht="11.25" customHeight="1" x14ac:dyDescent="0.25"/>
  </sheetData>
  <mergeCells count="5">
    <mergeCell ref="A2:C2"/>
    <mergeCell ref="A3:C3"/>
    <mergeCell ref="D7:P7"/>
    <mergeCell ref="D23:P23"/>
    <mergeCell ref="A1:D1"/>
  </mergeCells>
  <dataValidations count="1">
    <dataValidation type="list" allowBlank="1" showInputMessage="1" showErrorMessage="1" sqref="F2" xr:uid="{3954A860-02C9-410E-A008-DD9690E9499F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InsertRowAboveTableEnd">
                <anchor moveWithCells="1" sizeWithCells="1">
                  <from>
                    <xdr:col>6</xdr:col>
                    <xdr:colOff>447675</xdr:colOff>
                    <xdr:row>0</xdr:row>
                    <xdr:rowOff>180975</xdr:rowOff>
                  </from>
                  <to>
                    <xdr:col>7</xdr:col>
                    <xdr:colOff>962025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Save_tblSummary_ToDB">
                <anchor moveWithCells="1" sizeWithCells="1">
                  <from>
                    <xdr:col>7</xdr:col>
                    <xdr:colOff>1295400</xdr:colOff>
                    <xdr:row>0</xdr:row>
                    <xdr:rowOff>171450</xdr:rowOff>
                  </from>
                  <to>
                    <xdr:col>8</xdr:col>
                    <xdr:colOff>1524000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30AF75-27F7-4153-A7E3-2854CFE6947F}">
          <x14:formula1>
            <xm:f>Master_Input!$B$92:$B$93</xm:f>
          </x14:formula1>
          <xm:sqref>L87:L93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A59C7-E4EA-4A46-8820-5A2355B23BBD}">
  <sheetPr codeName="Sheet8">
    <tabColor theme="3"/>
  </sheetPr>
  <dimension ref="A1:AJ112"/>
  <sheetViews>
    <sheetView showGridLines="0" zoomScale="85" zoomScaleNormal="85" workbookViewId="0">
      <pane ySplit="3" topLeftCell="A4" activePane="bottomLeft" state="frozen"/>
      <selection activeCell="D3" sqref="D3"/>
      <selection pane="bottomLeft" activeCell="D18" sqref="D18"/>
    </sheetView>
  </sheetViews>
  <sheetFormatPr defaultColWidth="12.42578125" defaultRowHeight="15" x14ac:dyDescent="0.25"/>
  <cols>
    <col min="1" max="1" width="3.28515625" style="40" customWidth="1"/>
    <col min="2" max="2" width="5.7109375" style="40" customWidth="1"/>
    <col min="3" max="3" width="10.140625" style="40" customWidth="1"/>
    <col min="4" max="4" width="37.28515625" style="40" customWidth="1"/>
    <col min="5" max="5" width="37.140625" style="40" customWidth="1"/>
    <col min="6" max="6" width="43.85546875" style="40" customWidth="1"/>
    <col min="7" max="7" width="38.28515625" style="40" customWidth="1"/>
    <col min="8" max="9" width="30.42578125" style="40" customWidth="1"/>
    <col min="10" max="10" width="30.5703125" style="40" customWidth="1"/>
    <col min="11" max="11" width="35" style="40" customWidth="1"/>
    <col min="12" max="12" width="29.28515625" style="40" customWidth="1"/>
    <col min="13" max="14" width="36" style="40" customWidth="1"/>
    <col min="15" max="15" width="22.85546875" style="40" customWidth="1"/>
    <col min="16" max="16" width="32.7109375" style="40" customWidth="1"/>
    <col min="17" max="17" width="12.42578125" style="40" customWidth="1"/>
    <col min="18" max="19" width="12.42578125" style="40"/>
    <col min="20" max="34" width="12.42578125" style="40" customWidth="1"/>
    <col min="35" max="35" width="41.85546875" style="58" hidden="1" customWidth="1"/>
    <col min="36" max="16384" width="12.42578125" style="40"/>
  </cols>
  <sheetData>
    <row r="1" spans="1:35" s="43" customFormat="1" ht="35.1" customHeight="1" x14ac:dyDescent="0.25">
      <c r="A1" s="289" t="s">
        <v>385</v>
      </c>
      <c r="B1" s="289"/>
      <c r="C1" s="289"/>
      <c r="D1" s="289"/>
      <c r="F1" s="46" t="s">
        <v>99</v>
      </c>
      <c r="G1" s="47"/>
      <c r="I1" s="48"/>
      <c r="J1" s="49"/>
      <c r="K1" s="49"/>
      <c r="L1" s="49"/>
      <c r="M1" s="49"/>
      <c r="N1" s="49"/>
      <c r="AI1" s="50" t="s">
        <v>72</v>
      </c>
    </row>
    <row r="2" spans="1:35" s="43" customFormat="1" ht="23.25" customHeight="1" x14ac:dyDescent="0.25">
      <c r="A2" s="267" t="s">
        <v>0</v>
      </c>
      <c r="B2" s="267"/>
      <c r="C2" s="267"/>
      <c r="D2" s="51" t="str">
        <f>Master_Input!C6</f>
        <v>2023-2024</v>
      </c>
      <c r="F2" s="52" t="s">
        <v>88</v>
      </c>
      <c r="G2" s="53"/>
      <c r="I2" s="48"/>
      <c r="AI2" s="50" t="s">
        <v>72</v>
      </c>
    </row>
    <row r="3" spans="1:35" s="43" customFormat="1" ht="21" customHeight="1" x14ac:dyDescent="0.25">
      <c r="A3" s="266" t="s">
        <v>27</v>
      </c>
      <c r="B3" s="266"/>
      <c r="C3" s="266"/>
      <c r="D3" s="54" t="str">
        <f>Master_Input!C7</f>
        <v>FJD</v>
      </c>
      <c r="AI3" s="55"/>
    </row>
    <row r="4" spans="1:35" s="56" customFormat="1" ht="15.95" customHeight="1" x14ac:dyDescent="0.25">
      <c r="B4" s="57"/>
      <c r="C4" s="57"/>
      <c r="D4" s="57"/>
      <c r="AI4" s="58"/>
    </row>
    <row r="5" spans="1:35" x14ac:dyDescent="0.25">
      <c r="C5" s="59" t="s">
        <v>1</v>
      </c>
      <c r="D5" s="59" t="s">
        <v>2</v>
      </c>
      <c r="E5" s="59"/>
    </row>
    <row r="6" spans="1:35" x14ac:dyDescent="0.25">
      <c r="C6" s="59"/>
      <c r="D6" s="60" t="s">
        <v>3</v>
      </c>
      <c r="E6" s="59"/>
    </row>
    <row r="7" spans="1:35" x14ac:dyDescent="0.25">
      <c r="B7" s="61"/>
      <c r="C7" s="62" t="s">
        <v>4</v>
      </c>
      <c r="D7" s="263" t="s">
        <v>5</v>
      </c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5"/>
    </row>
    <row r="8" spans="1:35" s="63" customFormat="1" ht="18" customHeight="1" x14ac:dyDescent="0.25">
      <c r="C8" s="64" t="s">
        <v>6</v>
      </c>
      <c r="D8" s="64" t="s">
        <v>7</v>
      </c>
      <c r="E8" s="64" t="s">
        <v>8</v>
      </c>
      <c r="F8" s="64" t="s">
        <v>9</v>
      </c>
      <c r="G8" s="64" t="s">
        <v>73</v>
      </c>
      <c r="H8" s="64" t="s">
        <v>74</v>
      </c>
      <c r="I8" s="64" t="s">
        <v>75</v>
      </c>
      <c r="J8" s="64" t="s">
        <v>80</v>
      </c>
      <c r="K8" s="64" t="s">
        <v>76</v>
      </c>
      <c r="L8" s="64" t="s">
        <v>77</v>
      </c>
      <c r="M8" s="65" t="s">
        <v>78</v>
      </c>
      <c r="N8" s="65" t="s">
        <v>79</v>
      </c>
      <c r="O8" s="64" t="s">
        <v>41</v>
      </c>
      <c r="P8" s="64" t="s">
        <v>10</v>
      </c>
      <c r="AI8" s="58" t="s">
        <v>36</v>
      </c>
    </row>
    <row r="9" spans="1:35" s="63" customFormat="1" x14ac:dyDescent="0.25">
      <c r="C9" s="22"/>
      <c r="D9" s="22"/>
      <c r="E9" s="22"/>
      <c r="F9" s="22">
        <v>207673.61</v>
      </c>
      <c r="G9" s="22"/>
      <c r="H9" s="22"/>
      <c r="I9" s="22"/>
      <c r="J9" s="22"/>
      <c r="K9" s="22"/>
      <c r="L9" s="22"/>
      <c r="M9" s="86">
        <v>0.35</v>
      </c>
      <c r="N9" s="22">
        <f>SUM(F9:L9)*M9</f>
        <v>72685.763499999986</v>
      </c>
      <c r="O9" s="22"/>
      <c r="P9" s="22"/>
      <c r="AI9" s="58"/>
    </row>
    <row r="10" spans="1:35" s="63" customFormat="1" x14ac:dyDescent="0.2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86"/>
      <c r="N10" s="22">
        <f>SUM(F10:L10)*M10</f>
        <v>0</v>
      </c>
      <c r="O10" s="22"/>
      <c r="P10" s="22"/>
      <c r="AI10" s="58"/>
    </row>
    <row r="11" spans="1:35" s="63" customFormat="1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86"/>
      <c r="N11" s="22">
        <f>SUM(F11:L11)*M11</f>
        <v>0</v>
      </c>
      <c r="O11" s="22"/>
      <c r="P11" s="22"/>
      <c r="AI11" s="58"/>
    </row>
    <row r="12" spans="1:35" s="63" customFormat="1" x14ac:dyDescent="0.2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86"/>
      <c r="N12" s="22">
        <f>SUM(F12:L12)*M12</f>
        <v>0</v>
      </c>
      <c r="O12" s="22"/>
      <c r="P12" s="22"/>
      <c r="AI12" s="58"/>
    </row>
    <row r="13" spans="1:35" s="63" customFormat="1" x14ac:dyDescent="0.2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86"/>
      <c r="N13" s="22">
        <f>SUM(F13:L13)*M13</f>
        <v>0</v>
      </c>
      <c r="O13" s="22"/>
      <c r="P13" s="22"/>
      <c r="AI13" s="58"/>
    </row>
    <row r="14" spans="1:35" s="63" customFormat="1" x14ac:dyDescent="0.25"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86"/>
      <c r="N14" s="22">
        <f t="shared" ref="N14:N18" si="0">SUM(F14:L14)*M14</f>
        <v>0</v>
      </c>
      <c r="O14" s="22"/>
      <c r="P14" s="22"/>
      <c r="AI14" s="58"/>
    </row>
    <row r="15" spans="1:35" s="63" customFormat="1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86"/>
      <c r="N15" s="22">
        <f>SUM(F15:L15)*M15</f>
        <v>0</v>
      </c>
      <c r="O15" s="22"/>
      <c r="P15" s="22"/>
      <c r="AI15" s="58"/>
    </row>
    <row r="16" spans="1:35" s="63" customFormat="1" x14ac:dyDescent="0.25"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86"/>
      <c r="N16" s="22">
        <f>SUM(F16:L16)*M16</f>
        <v>0</v>
      </c>
      <c r="O16" s="22"/>
      <c r="P16" s="22"/>
      <c r="AI16" s="58"/>
    </row>
    <row r="17" spans="2:35" s="63" customFormat="1" x14ac:dyDescent="0.25"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86"/>
      <c r="N17" s="22">
        <f>SUM(F17:L17)*M17</f>
        <v>0</v>
      </c>
      <c r="O17" s="22"/>
      <c r="P17" s="22"/>
      <c r="AI17" s="58"/>
    </row>
    <row r="18" spans="2:35" s="63" customFormat="1" x14ac:dyDescent="0.25"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86"/>
      <c r="N18" s="22">
        <f t="shared" si="0"/>
        <v>0</v>
      </c>
      <c r="O18" s="22"/>
      <c r="P18" s="22"/>
      <c r="AI18" s="58"/>
    </row>
    <row r="19" spans="2:35" ht="15.75" thickBot="1" x14ac:dyDescent="0.3">
      <c r="B19" s="61"/>
      <c r="C19" s="17" t="s">
        <v>40</v>
      </c>
      <c r="D19" s="17"/>
      <c r="E19" s="17"/>
      <c r="F19" s="17">
        <f>SUBTOTAL(109,PERSONNEL_REGULAR41[Annual Salary])</f>
        <v>207673.61</v>
      </c>
      <c r="G19" s="17">
        <f>SUBTOTAL(109,PERSONNEL_REGULAR41[Benefit/Contribution (1)])</f>
        <v>0</v>
      </c>
      <c r="H19" s="17">
        <f>SUBTOTAL(109,PERSONNEL_REGULAR41[Benefit/Contribution (2)])</f>
        <v>0</v>
      </c>
      <c r="I19" s="17">
        <f>SUBTOTAL(109,PERSONNEL_REGULAR41[Benefit/Contribution (3)])</f>
        <v>0</v>
      </c>
      <c r="J19" s="17">
        <f>SUBTOTAL(109,PERSONNEL_REGULAR41[Benefit/Contribution (4)])</f>
        <v>0</v>
      </c>
      <c r="K19" s="17">
        <f>SUBTOTAL(109,PERSONNEL_REGULAR41[Benefit/Contribution (5)])</f>
        <v>0</v>
      </c>
      <c r="L19" s="17">
        <f>SUBTOTAL(109,PERSONNEL_REGULAR41[Other Benefits])</f>
        <v>0</v>
      </c>
      <c r="M19" s="17"/>
      <c r="N19" s="17">
        <f>SUBTOTAL(109,PERSONNEL_REGULAR41[Total Yearly Personnel Expense])</f>
        <v>72685.763499999986</v>
      </c>
      <c r="O19" s="17"/>
      <c r="P19" s="17"/>
    </row>
    <row r="20" spans="2:35" ht="15.75" thickTop="1" x14ac:dyDescent="0.25">
      <c r="B20" s="61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R20" s="63"/>
    </row>
    <row r="21" spans="2:35" x14ac:dyDescent="0.25">
      <c r="B21" s="61"/>
      <c r="C21" s="63"/>
      <c r="D21" s="63"/>
      <c r="E21" s="63"/>
      <c r="F21" s="63"/>
      <c r="G21" s="63"/>
      <c r="I21" s="63"/>
      <c r="J21" s="63"/>
      <c r="K21" s="63"/>
      <c r="L21" s="63"/>
      <c r="M21" s="63"/>
      <c r="N21" s="63"/>
      <c r="O21" s="63"/>
      <c r="P21" s="63"/>
    </row>
    <row r="22" spans="2:35" s="63" customFormat="1" ht="18.75" customHeight="1" x14ac:dyDescent="0.25">
      <c r="AI22" s="58"/>
    </row>
    <row r="23" spans="2:35" s="63" customFormat="1" x14ac:dyDescent="0.25">
      <c r="C23" s="62" t="s">
        <v>11</v>
      </c>
      <c r="D23" s="263" t="s">
        <v>46</v>
      </c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5"/>
      <c r="AI23" s="58"/>
    </row>
    <row r="24" spans="2:35" s="63" customFormat="1" ht="14.25" customHeight="1" x14ac:dyDescent="0.25">
      <c r="C24" s="64" t="s">
        <v>6</v>
      </c>
      <c r="D24" s="64" t="s">
        <v>7</v>
      </c>
      <c r="E24" s="64" t="s">
        <v>8</v>
      </c>
      <c r="F24" s="64" t="s">
        <v>9</v>
      </c>
      <c r="G24" s="64" t="s">
        <v>73</v>
      </c>
      <c r="H24" s="64" t="s">
        <v>74</v>
      </c>
      <c r="I24" s="64" t="s">
        <v>75</v>
      </c>
      <c r="J24" s="64" t="s">
        <v>80</v>
      </c>
      <c r="K24" s="64" t="s">
        <v>76</v>
      </c>
      <c r="L24" s="64" t="s">
        <v>77</v>
      </c>
      <c r="M24" s="65" t="s">
        <v>78</v>
      </c>
      <c r="N24" s="65" t="s">
        <v>79</v>
      </c>
      <c r="O24" s="64" t="s">
        <v>41</v>
      </c>
      <c r="P24" s="64" t="s">
        <v>10</v>
      </c>
      <c r="AI24" s="58" t="s">
        <v>36</v>
      </c>
    </row>
    <row r="25" spans="2:35" s="63" customFormat="1" x14ac:dyDescent="0.25"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86"/>
      <c r="N25" s="22">
        <f t="shared" ref="N25:N30" si="1">SUM(F25:L25)*M25</f>
        <v>0</v>
      </c>
      <c r="O25" s="22"/>
      <c r="P25" s="22"/>
      <c r="AI25" s="58"/>
    </row>
    <row r="26" spans="2:35" s="63" customFormat="1" x14ac:dyDescent="0.25"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86"/>
      <c r="N26" s="22">
        <f t="shared" si="1"/>
        <v>0</v>
      </c>
      <c r="O26" s="22"/>
      <c r="P26" s="22"/>
      <c r="AI26" s="58"/>
    </row>
    <row r="27" spans="2:35" s="63" customFormat="1" x14ac:dyDescent="0.25"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86"/>
      <c r="N27" s="22">
        <f t="shared" si="1"/>
        <v>0</v>
      </c>
      <c r="O27" s="22"/>
      <c r="P27" s="22"/>
      <c r="AI27" s="58"/>
    </row>
    <row r="28" spans="2:35" s="63" customFormat="1" x14ac:dyDescent="0.25"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86"/>
      <c r="N28" s="22">
        <f>SUM(F28:L28)*M28</f>
        <v>0</v>
      </c>
      <c r="O28" s="22"/>
      <c r="P28" s="22"/>
      <c r="AI28" s="58"/>
    </row>
    <row r="29" spans="2:35" s="63" customFormat="1" x14ac:dyDescent="0.25"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86"/>
      <c r="N29" s="22">
        <f t="shared" si="1"/>
        <v>0</v>
      </c>
      <c r="O29" s="22"/>
      <c r="P29" s="22"/>
      <c r="AI29" s="58"/>
    </row>
    <row r="30" spans="2:35" s="63" customFormat="1" x14ac:dyDescent="0.25">
      <c r="B30" s="4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86"/>
      <c r="N30" s="22">
        <f t="shared" si="1"/>
        <v>0</v>
      </c>
      <c r="O30" s="22"/>
      <c r="P30" s="22"/>
      <c r="AI30" s="58"/>
    </row>
    <row r="31" spans="2:35" s="63" customFormat="1" ht="15.75" thickBot="1" x14ac:dyDescent="0.3">
      <c r="B31" s="40"/>
      <c r="C31" s="17" t="s">
        <v>40</v>
      </c>
      <c r="D31" s="17"/>
      <c r="E31" s="17"/>
      <c r="F31" s="17">
        <f>SUBTOTAL(109,PERSONNEL_CONTRACTUAL42[Annual Salary])</f>
        <v>0</v>
      </c>
      <c r="G31" s="17">
        <f>SUBTOTAL(109,PERSONNEL_CONTRACTUAL42[Benefit/Contribution (1)])</f>
        <v>0</v>
      </c>
      <c r="H31" s="17">
        <f>SUBTOTAL(109,PERSONNEL_CONTRACTUAL42[Benefit/Contribution (2)])</f>
        <v>0</v>
      </c>
      <c r="I31" s="17">
        <f>SUBTOTAL(109,PERSONNEL_CONTRACTUAL42[Benefit/Contribution (3)])</f>
        <v>0</v>
      </c>
      <c r="J31" s="17">
        <f>SUBTOTAL(109,PERSONNEL_CONTRACTUAL42[Benefit/Contribution (4)])</f>
        <v>0</v>
      </c>
      <c r="K31" s="17">
        <f>SUBTOTAL(109,PERSONNEL_CONTRACTUAL42[Benefit/Contribution (5)])</f>
        <v>0</v>
      </c>
      <c r="L31" s="17">
        <f>SUBTOTAL(109,PERSONNEL_CONTRACTUAL42[Other Benefits])</f>
        <v>0</v>
      </c>
      <c r="M31" s="17"/>
      <c r="N31" s="17">
        <f>SUBTOTAL(109,PERSONNEL_CONTRACTUAL42[Total Yearly Personnel Expense])</f>
        <v>0</v>
      </c>
      <c r="O31" s="17"/>
      <c r="P31" s="17"/>
      <c r="AI31" s="58"/>
    </row>
    <row r="32" spans="2:35" s="63" customFormat="1" ht="15.75" thickTop="1" x14ac:dyDescent="0.25">
      <c r="B32" s="40"/>
      <c r="AI32" s="58"/>
    </row>
    <row r="33" spans="2:35" s="63" customFormat="1" x14ac:dyDescent="0.25">
      <c r="B33" s="40"/>
      <c r="AI33" s="58"/>
    </row>
    <row r="34" spans="2:35" s="63" customFormat="1" x14ac:dyDescent="0.25">
      <c r="AI34" s="58"/>
    </row>
    <row r="35" spans="2:35" s="63" customFormat="1" x14ac:dyDescent="0.25">
      <c r="G35" s="40"/>
      <c r="AI35" s="58"/>
    </row>
    <row r="36" spans="2:35" s="63" customFormat="1" x14ac:dyDescent="0.25">
      <c r="C36" s="59" t="s">
        <v>1</v>
      </c>
      <c r="D36" s="59" t="s">
        <v>2</v>
      </c>
      <c r="E36" s="59"/>
      <c r="AI36" s="58"/>
    </row>
    <row r="37" spans="2:35" s="63" customFormat="1" x14ac:dyDescent="0.25">
      <c r="C37" s="59"/>
      <c r="D37" s="60" t="s">
        <v>50</v>
      </c>
      <c r="E37" s="59"/>
      <c r="AI37" s="58"/>
    </row>
    <row r="38" spans="2:35" s="63" customFormat="1" x14ac:dyDescent="0.25">
      <c r="C38" s="66" t="s">
        <v>6</v>
      </c>
      <c r="D38" s="23" t="s">
        <v>12</v>
      </c>
      <c r="E38" s="23" t="s">
        <v>13</v>
      </c>
      <c r="F38" s="67" t="s">
        <v>10</v>
      </c>
      <c r="AI38" s="58" t="s">
        <v>36</v>
      </c>
    </row>
    <row r="39" spans="2:35" s="63" customFormat="1" x14ac:dyDescent="0.25">
      <c r="C39" s="22"/>
      <c r="D39" s="68" t="s">
        <v>52</v>
      </c>
      <c r="E39" s="22">
        <v>314658</v>
      </c>
      <c r="F39" s="22"/>
      <c r="AI39" s="58"/>
    </row>
    <row r="40" spans="2:35" s="63" customFormat="1" x14ac:dyDescent="0.25">
      <c r="C40" s="22"/>
      <c r="D40" s="68" t="s">
        <v>53</v>
      </c>
      <c r="E40" s="22"/>
      <c r="F40" s="22"/>
      <c r="AI40" s="58"/>
    </row>
    <row r="41" spans="2:35" s="63" customFormat="1" x14ac:dyDescent="0.25">
      <c r="C41" s="22"/>
      <c r="D41" s="68" t="s">
        <v>54</v>
      </c>
      <c r="E41" s="22"/>
      <c r="F41" s="22"/>
      <c r="AI41" s="58"/>
    </row>
    <row r="42" spans="2:35" s="63" customFormat="1" x14ac:dyDescent="0.25">
      <c r="C42" s="22"/>
      <c r="D42" s="68" t="s">
        <v>55</v>
      </c>
      <c r="E42" s="22"/>
      <c r="F42" s="22"/>
      <c r="AI42" s="58"/>
    </row>
    <row r="43" spans="2:35" s="63" customFormat="1" x14ac:dyDescent="0.25">
      <c r="C43" s="22"/>
      <c r="D43" s="68" t="s">
        <v>56</v>
      </c>
      <c r="E43" s="22"/>
      <c r="F43" s="22"/>
      <c r="AI43" s="58"/>
    </row>
    <row r="44" spans="2:35" s="63" customFormat="1" x14ac:dyDescent="0.25">
      <c r="C44" s="22"/>
      <c r="D44" s="40" t="s">
        <v>57</v>
      </c>
      <c r="E44" s="22"/>
      <c r="F44" s="22"/>
      <c r="AI44" s="58"/>
    </row>
    <row r="45" spans="2:35" s="63" customFormat="1" x14ac:dyDescent="0.25">
      <c r="C45" s="22"/>
      <c r="D45" s="40" t="s">
        <v>58</v>
      </c>
      <c r="E45" s="22"/>
      <c r="F45" s="22"/>
      <c r="AI45" s="58"/>
    </row>
    <row r="46" spans="2:35" s="63" customFormat="1" x14ac:dyDescent="0.25">
      <c r="C46" s="22"/>
      <c r="D46" s="40" t="s">
        <v>59</v>
      </c>
      <c r="E46" s="22"/>
      <c r="F46" s="22"/>
      <c r="AI46" s="58"/>
    </row>
    <row r="47" spans="2:35" s="63" customFormat="1" x14ac:dyDescent="0.25">
      <c r="C47" s="22"/>
      <c r="D47" s="40" t="s">
        <v>60</v>
      </c>
      <c r="E47" s="22"/>
      <c r="F47" s="22"/>
      <c r="AI47" s="58"/>
    </row>
    <row r="48" spans="2:35" s="63" customFormat="1" x14ac:dyDescent="0.25">
      <c r="C48" s="22"/>
      <c r="D48" s="40" t="s">
        <v>61</v>
      </c>
      <c r="E48" s="22"/>
      <c r="F48" s="22"/>
      <c r="AI48" s="58"/>
    </row>
    <row r="49" spans="2:35" s="63" customFormat="1" x14ac:dyDescent="0.25">
      <c r="C49" s="22"/>
      <c r="D49" s="40" t="s">
        <v>62</v>
      </c>
      <c r="E49" s="22"/>
      <c r="F49" s="22"/>
      <c r="AI49" s="58"/>
    </row>
    <row r="50" spans="2:35" s="63" customFormat="1" x14ac:dyDescent="0.25">
      <c r="C50" s="22"/>
      <c r="D50" s="40" t="s">
        <v>63</v>
      </c>
      <c r="E50" s="22"/>
      <c r="F50" s="22"/>
      <c r="AI50" s="58"/>
    </row>
    <row r="51" spans="2:35" s="63" customFormat="1" x14ac:dyDescent="0.25">
      <c r="C51" s="22"/>
      <c r="D51" s="40" t="s">
        <v>64</v>
      </c>
      <c r="E51" s="22"/>
      <c r="F51" s="22"/>
      <c r="AI51" s="58"/>
    </row>
    <row r="52" spans="2:35" s="63" customFormat="1" x14ac:dyDescent="0.25">
      <c r="C52" s="22"/>
      <c r="D52" s="68" t="s">
        <v>66</v>
      </c>
      <c r="E52" s="22"/>
      <c r="F52" s="22"/>
      <c r="AI52" s="58"/>
    </row>
    <row r="53" spans="2:35" s="63" customFormat="1" x14ac:dyDescent="0.25">
      <c r="C53" s="22"/>
      <c r="D53" s="68" t="s">
        <v>67</v>
      </c>
      <c r="E53" s="22"/>
      <c r="F53" s="22"/>
      <c r="AI53" s="58"/>
    </row>
    <row r="54" spans="2:35" s="63" customFormat="1" x14ac:dyDescent="0.25">
      <c r="C54" s="22"/>
      <c r="D54" s="68" t="s">
        <v>68</v>
      </c>
      <c r="E54" s="22"/>
      <c r="F54" s="22"/>
      <c r="AI54" s="58"/>
    </row>
    <row r="55" spans="2:35" s="63" customFormat="1" x14ac:dyDescent="0.25">
      <c r="C55" s="22"/>
      <c r="D55" s="68" t="s">
        <v>69</v>
      </c>
      <c r="E55" s="22"/>
      <c r="F55" s="22"/>
      <c r="AI55" s="58"/>
    </row>
    <row r="56" spans="2:35" s="63" customFormat="1" x14ac:dyDescent="0.25">
      <c r="C56" s="22"/>
      <c r="D56" s="68" t="s">
        <v>70</v>
      </c>
      <c r="E56" s="22"/>
      <c r="F56" s="22"/>
      <c r="AI56" s="58"/>
    </row>
    <row r="57" spans="2:35" s="63" customFormat="1" x14ac:dyDescent="0.25">
      <c r="C57" s="22"/>
      <c r="D57" s="68" t="s">
        <v>65</v>
      </c>
      <c r="E57" s="22"/>
      <c r="F57" s="22"/>
      <c r="AI57" s="58"/>
    </row>
    <row r="58" spans="2:35" s="63" customFormat="1" x14ac:dyDescent="0.25">
      <c r="C58" s="22"/>
      <c r="D58" s="68" t="s">
        <v>65</v>
      </c>
      <c r="E58" s="22"/>
      <c r="F58" s="22"/>
      <c r="AI58" s="58"/>
    </row>
    <row r="59" spans="2:35" s="63" customFormat="1" x14ac:dyDescent="0.25">
      <c r="C59" s="22"/>
      <c r="D59" s="68" t="s">
        <v>65</v>
      </c>
      <c r="E59" s="22"/>
      <c r="F59" s="22"/>
      <c r="AI59" s="58"/>
    </row>
    <row r="60" spans="2:35" s="63" customFormat="1" x14ac:dyDescent="0.25">
      <c r="C60" s="22"/>
      <c r="D60" s="68" t="s">
        <v>65</v>
      </c>
      <c r="E60" s="22"/>
      <c r="F60" s="22"/>
      <c r="AI60" s="58"/>
    </row>
    <row r="61" spans="2:35" s="63" customFormat="1" x14ac:dyDescent="0.25">
      <c r="C61" s="22"/>
      <c r="D61" s="68" t="s">
        <v>65</v>
      </c>
      <c r="E61" s="22"/>
      <c r="F61" s="22"/>
      <c r="AI61" s="58"/>
    </row>
    <row r="62" spans="2:35" s="63" customFormat="1" x14ac:dyDescent="0.25">
      <c r="C62" s="22"/>
      <c r="D62" s="68" t="s">
        <v>65</v>
      </c>
      <c r="E62" s="22"/>
      <c r="F62" s="22"/>
      <c r="AI62" s="58"/>
    </row>
    <row r="63" spans="2:35" s="63" customFormat="1" x14ac:dyDescent="0.25">
      <c r="B63" s="40"/>
      <c r="C63" s="22"/>
      <c r="D63" s="68" t="s">
        <v>65</v>
      </c>
      <c r="E63" s="22"/>
      <c r="F63" s="22"/>
      <c r="AI63" s="58"/>
    </row>
    <row r="64" spans="2:35" s="63" customFormat="1" x14ac:dyDescent="0.25">
      <c r="B64" s="40"/>
      <c r="C64" s="22"/>
      <c r="D64" s="68" t="s">
        <v>65</v>
      </c>
      <c r="E64" s="22"/>
      <c r="F64" s="22"/>
      <c r="AI64" s="58"/>
    </row>
    <row r="65" spans="2:35" s="63" customFormat="1" x14ac:dyDescent="0.25">
      <c r="B65" s="40"/>
      <c r="C65" s="22"/>
      <c r="D65" s="68" t="s">
        <v>65</v>
      </c>
      <c r="E65" s="22"/>
      <c r="F65" s="22"/>
      <c r="AI65" s="58"/>
    </row>
    <row r="66" spans="2:35" s="63" customFormat="1" ht="15.75" thickBot="1" x14ac:dyDescent="0.3">
      <c r="B66" s="40"/>
      <c r="C66" s="17" t="s">
        <v>40</v>
      </c>
      <c r="D66" s="17"/>
      <c r="E66" s="17">
        <f>SUBTOTAL(109,OPEX_COSTS31[Total Annual Cost])</f>
        <v>314658</v>
      </c>
      <c r="F66" s="17"/>
      <c r="AI66" s="58"/>
    </row>
    <row r="67" spans="2:35" s="63" customFormat="1" ht="15.75" thickTop="1" x14ac:dyDescent="0.25">
      <c r="B67" s="40"/>
      <c r="AI67" s="58"/>
    </row>
    <row r="68" spans="2:35" s="63" customFormat="1" x14ac:dyDescent="0.25">
      <c r="AI68" s="58"/>
    </row>
    <row r="69" spans="2:35" s="63" customFormat="1" x14ac:dyDescent="0.25">
      <c r="AI69" s="58"/>
    </row>
    <row r="70" spans="2:35" s="63" customFormat="1" x14ac:dyDescent="0.25">
      <c r="C70" s="59" t="s">
        <v>1</v>
      </c>
      <c r="D70" s="59" t="s">
        <v>2</v>
      </c>
      <c r="E70" s="59"/>
      <c r="AI70" s="58"/>
    </row>
    <row r="71" spans="2:35" s="63" customFormat="1" x14ac:dyDescent="0.25">
      <c r="C71" s="59"/>
      <c r="D71" s="60" t="s">
        <v>81</v>
      </c>
      <c r="E71" s="59"/>
      <c r="AI71" s="58"/>
    </row>
    <row r="72" spans="2:35" s="63" customFormat="1" x14ac:dyDescent="0.25">
      <c r="C72" s="66" t="s">
        <v>28</v>
      </c>
      <c r="D72" s="23" t="s">
        <v>12</v>
      </c>
      <c r="E72" s="23" t="s">
        <v>14</v>
      </c>
      <c r="F72" s="23" t="s">
        <v>15</v>
      </c>
      <c r="G72" s="23" t="s">
        <v>13</v>
      </c>
      <c r="H72" s="67" t="s">
        <v>10</v>
      </c>
      <c r="AI72" s="58" t="s">
        <v>36</v>
      </c>
    </row>
    <row r="73" spans="2:35" s="63" customFormat="1" x14ac:dyDescent="0.25">
      <c r="C73" s="22"/>
      <c r="D73" s="22"/>
      <c r="E73" s="22"/>
      <c r="F73" s="22"/>
      <c r="G73" s="22">
        <f>OTHER_COST39[[#This Row],[Cost per Unit]]*OTHER_COST39[[#This Row],[Units]]</f>
        <v>0</v>
      </c>
      <c r="H73" s="22"/>
      <c r="AI73" s="58"/>
    </row>
    <row r="74" spans="2:35" s="63" customFormat="1" x14ac:dyDescent="0.25">
      <c r="C74" s="22"/>
      <c r="D74" s="22"/>
      <c r="E74" s="22"/>
      <c r="F74" s="22"/>
      <c r="G74" s="22">
        <f>OTHER_COST39[[#This Row],[Cost per Unit]]*OTHER_COST39[[#This Row],[Units]]</f>
        <v>0</v>
      </c>
      <c r="H74" s="22"/>
      <c r="AI74" s="58"/>
    </row>
    <row r="75" spans="2:35" s="63" customFormat="1" x14ac:dyDescent="0.25">
      <c r="C75" s="22"/>
      <c r="D75" s="22"/>
      <c r="E75" s="22"/>
      <c r="F75" s="22"/>
      <c r="G75" s="22">
        <f>OTHER_COST39[[#This Row],[Cost per Unit]]*OTHER_COST39[[#This Row],[Units]]</f>
        <v>0</v>
      </c>
      <c r="H75" s="22"/>
      <c r="AI75" s="58"/>
    </row>
    <row r="76" spans="2:35" s="63" customFormat="1" x14ac:dyDescent="0.25">
      <c r="C76" s="22"/>
      <c r="D76" s="22"/>
      <c r="E76" s="22"/>
      <c r="F76" s="22"/>
      <c r="G76" s="22">
        <f>OTHER_COST39[[#This Row],[Cost per Unit]]*OTHER_COST39[[#This Row],[Units]]</f>
        <v>0</v>
      </c>
      <c r="H76" s="22"/>
      <c r="AI76" s="58"/>
    </row>
    <row r="77" spans="2:35" s="63" customFormat="1" x14ac:dyDescent="0.25">
      <c r="B77" s="40"/>
      <c r="C77" s="22"/>
      <c r="D77" s="22"/>
      <c r="E77" s="22"/>
      <c r="F77" s="22"/>
      <c r="G77" s="22">
        <f>OTHER_COST39[[#This Row],[Cost per Unit]]*OTHER_COST39[[#This Row],[Units]]</f>
        <v>0</v>
      </c>
      <c r="H77" s="22"/>
      <c r="AI77" s="58"/>
    </row>
    <row r="78" spans="2:35" s="63" customFormat="1" x14ac:dyDescent="0.25">
      <c r="B78" s="40"/>
      <c r="C78" s="22"/>
      <c r="D78" s="22"/>
      <c r="E78" s="22"/>
      <c r="F78" s="22"/>
      <c r="G78" s="22">
        <f>OTHER_COST39[[#This Row],[Cost per Unit]]*OTHER_COST39[[#This Row],[Units]]</f>
        <v>0</v>
      </c>
      <c r="H78" s="22"/>
      <c r="AI78" s="58"/>
    </row>
    <row r="79" spans="2:35" s="63" customFormat="1" x14ac:dyDescent="0.25">
      <c r="B79" s="40"/>
      <c r="C79" s="22"/>
      <c r="D79" s="22"/>
      <c r="E79" s="22"/>
      <c r="F79" s="22"/>
      <c r="G79" s="22">
        <f t="shared" ref="G79" si="2">E79*F79</f>
        <v>0</v>
      </c>
      <c r="H79" s="22"/>
      <c r="AI79" s="58"/>
    </row>
    <row r="80" spans="2:35" s="63" customFormat="1" ht="15.75" thickBot="1" x14ac:dyDescent="0.3">
      <c r="B80" s="40"/>
      <c r="C80" s="69" t="s">
        <v>40</v>
      </c>
      <c r="D80" s="69"/>
      <c r="E80" s="69"/>
      <c r="F80" s="69"/>
      <c r="G80" s="69">
        <f>SUBTOTAL(109,OTHER_COST39[Total Annual Cost])</f>
        <v>0</v>
      </c>
      <c r="H80" s="69"/>
      <c r="AI80" s="58"/>
    </row>
    <row r="81" spans="2:36" s="63" customFormat="1" ht="15.75" thickTop="1" x14ac:dyDescent="0.25">
      <c r="B81" s="40"/>
      <c r="AI81" s="58"/>
    </row>
    <row r="82" spans="2:36" s="63" customFormat="1" x14ac:dyDescent="0.25">
      <c r="B82" s="40"/>
      <c r="AI82" s="58"/>
    </row>
    <row r="83" spans="2:36" s="63" customFormat="1" x14ac:dyDescent="0.25">
      <c r="AI83" s="58"/>
    </row>
    <row r="84" spans="2:36" s="63" customFormat="1" x14ac:dyDescent="0.25">
      <c r="C84" s="59" t="s">
        <v>1</v>
      </c>
      <c r="D84" s="59" t="s">
        <v>2</v>
      </c>
      <c r="E84" s="59"/>
      <c r="AI84" s="58"/>
    </row>
    <row r="85" spans="2:36" s="63" customFormat="1" x14ac:dyDescent="0.25">
      <c r="C85" s="59"/>
      <c r="D85" s="60" t="s">
        <v>16</v>
      </c>
      <c r="E85" s="59"/>
      <c r="AI85" s="58"/>
    </row>
    <row r="86" spans="2:36" s="70" customFormat="1" ht="33" customHeight="1" x14ac:dyDescent="0.25">
      <c r="C86" s="71" t="s">
        <v>17</v>
      </c>
      <c r="D86" s="24" t="s">
        <v>12</v>
      </c>
      <c r="E86" s="24" t="s">
        <v>18</v>
      </c>
      <c r="F86" s="24" t="s">
        <v>19</v>
      </c>
      <c r="G86" s="24" t="s">
        <v>20</v>
      </c>
      <c r="H86" s="24" t="s">
        <v>21</v>
      </c>
      <c r="I86" s="24" t="s">
        <v>22</v>
      </c>
      <c r="J86" s="24" t="s">
        <v>23</v>
      </c>
      <c r="K86" s="24" t="s">
        <v>24</v>
      </c>
      <c r="L86" s="24" t="s">
        <v>364</v>
      </c>
      <c r="M86" s="24" t="s">
        <v>25</v>
      </c>
      <c r="N86" s="72" t="s">
        <v>10</v>
      </c>
      <c r="AJ86" s="73" t="s">
        <v>36</v>
      </c>
    </row>
    <row r="87" spans="2:36" s="63" customFormat="1" x14ac:dyDescent="0.25">
      <c r="C87" s="22"/>
      <c r="D87" s="22"/>
      <c r="E87" s="248"/>
      <c r="F87" s="22"/>
      <c r="G87" s="22"/>
      <c r="H87" s="22">
        <f>DEPRECIATION40[[#This Row],[Initial Cost If Purchased or Value of Granted Asset]]-DEPRECIATION40[[#This Row],[Salvage Value]]</f>
        <v>0</v>
      </c>
      <c r="I87" s="248"/>
      <c r="J87" s="22"/>
      <c r="K87" s="22">
        <f>IFERROR(DEPRECIATION40[[#This Row],[Depreciable Cost]]/DEPRECIATION40[[#This Row],[Useful Life]], 0)</f>
        <v>0</v>
      </c>
      <c r="L87" s="22" t="s">
        <v>28</v>
      </c>
      <c r="M87" s="22">
        <f>IF(DEPRECIATION40[[#This Row],[Exceeded useful life]]="YES",0,IFERROR(DEPRECIATION40[[#This Row],[Number of Assets]]*DEPRECIATION40[[#This Row],[Annual Depreciation]],0))</f>
        <v>0</v>
      </c>
      <c r="N87" s="22"/>
      <c r="AJ87" s="58"/>
    </row>
    <row r="88" spans="2:36" s="63" customFormat="1" x14ac:dyDescent="0.25">
      <c r="C88" s="22"/>
      <c r="D88" s="22"/>
      <c r="E88" s="248"/>
      <c r="F88" s="22"/>
      <c r="G88" s="22"/>
      <c r="H88" s="22">
        <f>DEPRECIATION40[[#This Row],[Initial Cost If Purchased or Value of Granted Asset]]-DEPRECIATION40[[#This Row],[Salvage Value]]</f>
        <v>0</v>
      </c>
      <c r="I88" s="248"/>
      <c r="J88" s="22"/>
      <c r="K88" s="22">
        <f>IFERROR(DEPRECIATION40[[#This Row],[Depreciable Cost]]/DEPRECIATION40[[#This Row],[Useful Life]], 0)</f>
        <v>0</v>
      </c>
      <c r="L88" s="22" t="s">
        <v>28</v>
      </c>
      <c r="M88" s="22">
        <f>IF(DEPRECIATION40[[#This Row],[Exceeded useful life]]="YES",0,IFERROR(DEPRECIATION40[[#This Row],[Number of Assets]]*DEPRECIATION40[[#This Row],[Annual Depreciation]],0))</f>
        <v>0</v>
      </c>
      <c r="N88" s="22"/>
      <c r="AJ88" s="58"/>
    </row>
    <row r="89" spans="2:36" s="63" customFormat="1" x14ac:dyDescent="0.25">
      <c r="B89" s="40"/>
      <c r="C89" s="22"/>
      <c r="D89" s="22"/>
      <c r="E89" s="248"/>
      <c r="F89" s="22"/>
      <c r="G89" s="22"/>
      <c r="H89" s="22">
        <f>DEPRECIATION40[[#This Row],[Initial Cost If Purchased or Value of Granted Asset]]-DEPRECIATION40[[#This Row],[Salvage Value]]</f>
        <v>0</v>
      </c>
      <c r="I89" s="248"/>
      <c r="J89" s="22"/>
      <c r="K89" s="22">
        <f>IFERROR(DEPRECIATION40[[#This Row],[Depreciable Cost]]/DEPRECIATION40[[#This Row],[Useful Life]], 0)</f>
        <v>0</v>
      </c>
      <c r="L89" s="22" t="s">
        <v>28</v>
      </c>
      <c r="M89" s="22">
        <f>IF(DEPRECIATION40[[#This Row],[Exceeded useful life]]="YES",0,IFERROR(DEPRECIATION40[[#This Row],[Number of Assets]]*DEPRECIATION40[[#This Row],[Annual Depreciation]],0))</f>
        <v>0</v>
      </c>
      <c r="N89" s="22"/>
      <c r="AJ89" s="58"/>
    </row>
    <row r="90" spans="2:36" s="63" customFormat="1" x14ac:dyDescent="0.25">
      <c r="B90" s="40"/>
      <c r="C90" s="22"/>
      <c r="D90" s="22"/>
      <c r="E90" s="248"/>
      <c r="F90" s="22"/>
      <c r="G90" s="22"/>
      <c r="H90" s="22">
        <f>DEPRECIATION40[[#This Row],[Initial Cost If Purchased or Value of Granted Asset]]-DEPRECIATION40[[#This Row],[Salvage Value]]</f>
        <v>0</v>
      </c>
      <c r="I90" s="248"/>
      <c r="J90" s="22"/>
      <c r="K90" s="22">
        <f>IFERROR(DEPRECIATION40[[#This Row],[Depreciable Cost]]/DEPRECIATION40[[#This Row],[Useful Life]], 0)</f>
        <v>0</v>
      </c>
      <c r="L90" s="22" t="s">
        <v>28</v>
      </c>
      <c r="M90" s="22">
        <f>IF(DEPRECIATION40[[#This Row],[Exceeded useful life]]="YES",0,IFERROR(DEPRECIATION40[[#This Row],[Number of Assets]]*DEPRECIATION40[[#This Row],[Annual Depreciation]],0))</f>
        <v>0</v>
      </c>
      <c r="N90" s="22"/>
      <c r="AJ90" s="58"/>
    </row>
    <row r="91" spans="2:36" s="63" customFormat="1" x14ac:dyDescent="0.25">
      <c r="B91" s="40"/>
      <c r="C91" s="22"/>
      <c r="D91" s="22"/>
      <c r="E91" s="248"/>
      <c r="F91" s="22"/>
      <c r="G91" s="22"/>
      <c r="H91" s="22">
        <f>DEPRECIATION40[[#This Row],[Initial Cost If Purchased or Value of Granted Asset]]-DEPRECIATION40[[#This Row],[Salvage Value]]</f>
        <v>0</v>
      </c>
      <c r="I91" s="248"/>
      <c r="J91" s="22"/>
      <c r="K91" s="22">
        <f>IFERROR(DEPRECIATION40[[#This Row],[Depreciable Cost]]/DEPRECIATION40[[#This Row],[Useful Life]], 0)</f>
        <v>0</v>
      </c>
      <c r="L91" s="22" t="s">
        <v>28</v>
      </c>
      <c r="M91" s="22">
        <f>IF(DEPRECIATION40[[#This Row],[Exceeded useful life]]="YES",0,IFERROR(DEPRECIATION40[[#This Row],[Number of Assets]]*DEPRECIATION40[[#This Row],[Annual Depreciation]],0))</f>
        <v>0</v>
      </c>
      <c r="N91" s="22"/>
      <c r="AJ91" s="58"/>
    </row>
    <row r="92" spans="2:36" s="63" customFormat="1" x14ac:dyDescent="0.25">
      <c r="B92" s="40"/>
      <c r="C92" s="22"/>
      <c r="D92" s="22"/>
      <c r="E92" s="248"/>
      <c r="F92" s="22"/>
      <c r="G92" s="22"/>
      <c r="H92" s="22">
        <f>DEPRECIATION40[[#This Row],[Initial Cost If Purchased or Value of Granted Asset]]-DEPRECIATION40[[#This Row],[Salvage Value]]</f>
        <v>0</v>
      </c>
      <c r="I92" s="248"/>
      <c r="J92" s="22"/>
      <c r="K92" s="22">
        <f>IFERROR(DEPRECIATION40[[#This Row],[Depreciable Cost]]/DEPRECIATION40[[#This Row],[Useful Life]], 0)</f>
        <v>0</v>
      </c>
      <c r="L92" s="22" t="s">
        <v>28</v>
      </c>
      <c r="M92" s="22">
        <f>IF(DEPRECIATION40[[#This Row],[Exceeded useful life]]="YES",0,IFERROR(DEPRECIATION40[[#This Row],[Number of Assets]]*DEPRECIATION40[[#This Row],[Annual Depreciation]],0))</f>
        <v>0</v>
      </c>
      <c r="N92" s="22"/>
      <c r="AJ92" s="58"/>
    </row>
    <row r="93" spans="2:36" s="63" customFormat="1" x14ac:dyDescent="0.25">
      <c r="B93" s="40"/>
      <c r="C93" s="22"/>
      <c r="D93" s="22"/>
      <c r="E93" s="248"/>
      <c r="F93" s="22"/>
      <c r="G93" s="22"/>
      <c r="H93" s="22">
        <f>DEPRECIATION40[[#This Row],[Initial Cost If Purchased or Value of Granted Asset]]-DEPRECIATION40[[#This Row],[Salvage Value]]</f>
        <v>0</v>
      </c>
      <c r="I93" s="248"/>
      <c r="J93" s="22"/>
      <c r="K93" s="22">
        <f>IFERROR(DEPRECIATION40[[#This Row],[Depreciable Cost]]/DEPRECIATION40[[#This Row],[Useful Life]], 0)</f>
        <v>0</v>
      </c>
      <c r="L93" s="22" t="s">
        <v>28</v>
      </c>
      <c r="M93" s="22">
        <f>IF(DEPRECIATION40[[#This Row],[Exceeded useful life]]="YES",0,IFERROR(DEPRECIATION40[[#This Row],[Number of Assets]]*DEPRECIATION40[[#This Row],[Annual Depreciation]],0))</f>
        <v>0</v>
      </c>
      <c r="N93" s="22"/>
      <c r="AJ93" s="58"/>
    </row>
    <row r="94" spans="2:36" s="63" customFormat="1" ht="15.75" thickBot="1" x14ac:dyDescent="0.3">
      <c r="B94" s="40"/>
      <c r="C94" s="17" t="s">
        <v>40</v>
      </c>
      <c r="D94" s="17"/>
      <c r="E94" s="17"/>
      <c r="F94" s="17"/>
      <c r="G94" s="17"/>
      <c r="H94" s="17">
        <f>SUBTOTAL(109,DEPRECIATION40[Depreciable Cost])</f>
        <v>0</v>
      </c>
      <c r="I94" s="17"/>
      <c r="J94" s="17"/>
      <c r="K94" s="17"/>
      <c r="L94" s="17"/>
      <c r="M94" s="17">
        <f>SUBTOTAL(109,DEPRECIATION40[Total Depreciation])</f>
        <v>0</v>
      </c>
      <c r="N94" s="17"/>
      <c r="AJ94" s="58"/>
    </row>
    <row r="95" spans="2:36" s="63" customFormat="1" ht="15.75" thickTop="1" x14ac:dyDescent="0.25">
      <c r="AI95" s="58"/>
    </row>
    <row r="96" spans="2:36" s="63" customFormat="1" x14ac:dyDescent="0.25">
      <c r="AI96" s="58"/>
    </row>
    <row r="97" spans="4:35" s="63" customFormat="1" x14ac:dyDescent="0.25">
      <c r="J97" s="40"/>
      <c r="AI97" s="58"/>
    </row>
    <row r="101" spans="4:35" ht="18.75" x14ac:dyDescent="0.25">
      <c r="D101" s="74" t="s">
        <v>144</v>
      </c>
      <c r="E101" s="75" t="str">
        <f>A1</f>
        <v>Disposal</v>
      </c>
    </row>
    <row r="102" spans="4:35" ht="20.25" customHeight="1" x14ac:dyDescent="0.25">
      <c r="D102" s="76" t="s">
        <v>49</v>
      </c>
      <c r="E102" s="42">
        <f>tblSummaryCash43[[#Totals],[(HIDDEN)2]]</f>
        <v>387343.7635</v>
      </c>
    </row>
    <row r="103" spans="4:35" ht="15.75" hidden="1" customHeight="1" x14ac:dyDescent="0.25">
      <c r="D103" s="77" t="s">
        <v>142</v>
      </c>
      <c r="E103" s="77" t="s">
        <v>143</v>
      </c>
      <c r="AG103" s="58"/>
      <c r="AI103" s="40"/>
    </row>
    <row r="104" spans="4:35" ht="18.75" x14ac:dyDescent="0.25">
      <c r="D104" s="78" t="s">
        <v>47</v>
      </c>
      <c r="E104" s="79">
        <f>PERSONNEL_REGULAR41[[#Totals],[Total Yearly Personnel Expense]]+PERSONNEL_CONTRACTUAL42[[#Totals],[Total Yearly Personnel Expense]]</f>
        <v>72685.763499999986</v>
      </c>
      <c r="G104" s="87"/>
      <c r="AG104" s="58"/>
      <c r="AI104" s="40"/>
    </row>
    <row r="105" spans="4:35" s="81" customFormat="1" ht="18.75" x14ac:dyDescent="0.25">
      <c r="D105" s="78" t="s">
        <v>82</v>
      </c>
      <c r="E105" s="80">
        <f>SUM(
SUBTOTAL(109,OPEX_COSTS31[Total Annual Cost]),
SUBTOTAL(109,OTHER_COST39[Total Annual Cost])
)</f>
        <v>314658</v>
      </c>
      <c r="AG105" s="58"/>
    </row>
    <row r="106" spans="4:35" s="81" customFormat="1" ht="18.75" hidden="1" x14ac:dyDescent="0.25">
      <c r="D106" s="82" t="s">
        <v>141</v>
      </c>
      <c r="E106" s="83">
        <f>PERSONNEL_REGULAR41[[#Totals],[Total Yearly Personnel Expense]]+PERSONNEL_CONTRACTUAL42[[#Totals],[Total Yearly Personnel Expense]]+SUBTOTAL(109,OPEX_COSTS31[Total Annual Cost])+
SUBTOTAL(109,OTHER_COST39[Total Annual Cost])</f>
        <v>387343.7635</v>
      </c>
      <c r="AG106" s="58" t="s">
        <v>120</v>
      </c>
    </row>
    <row r="107" spans="4:35" hidden="1" x14ac:dyDescent="0.25">
      <c r="D107" s="84" t="s">
        <v>142</v>
      </c>
      <c r="E107" s="84" t="s">
        <v>143</v>
      </c>
    </row>
    <row r="108" spans="4:35" ht="18.75" x14ac:dyDescent="0.25">
      <c r="D108" s="76" t="s">
        <v>48</v>
      </c>
      <c r="E108" s="42">
        <f>DEPRECIATION40[[#Totals],[Total Depreciation]]</f>
        <v>0</v>
      </c>
      <c r="AI108" s="58" t="s">
        <v>156</v>
      </c>
    </row>
    <row r="109" spans="4:35" ht="18.75" hidden="1" x14ac:dyDescent="0.25">
      <c r="D109" s="85" t="s">
        <v>141</v>
      </c>
      <c r="E109" s="39">
        <f>SUBTOTAL(109,tblSummaryNonCash44[(HIDDEN)2])</f>
        <v>0</v>
      </c>
    </row>
    <row r="110" spans="4:35" x14ac:dyDescent="0.25">
      <c r="D110" s="41"/>
      <c r="E110" s="41">
        <f>tblSummaryCash43[[#Totals],[(HIDDEN)2]]+tblSummaryNonCash44[[#Totals],[(HIDDEN)2]]</f>
        <v>387343.7635</v>
      </c>
    </row>
    <row r="112" spans="4:35" ht="11.25" customHeight="1" x14ac:dyDescent="0.25"/>
  </sheetData>
  <mergeCells count="5">
    <mergeCell ref="A2:C2"/>
    <mergeCell ref="A3:C3"/>
    <mergeCell ref="D7:P7"/>
    <mergeCell ref="D23:P23"/>
    <mergeCell ref="A1:D1"/>
  </mergeCells>
  <dataValidations count="1">
    <dataValidation type="list" allowBlank="1" showInputMessage="1" showErrorMessage="1" sqref="F2" xr:uid="{E5A4DB9C-4B97-43C7-945F-9A221C1F1F98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InsertRowAboveTableEnd">
                <anchor moveWithCells="1" sizeWithCells="1">
                  <from>
                    <xdr:col>6</xdr:col>
                    <xdr:colOff>447675</xdr:colOff>
                    <xdr:row>0</xdr:row>
                    <xdr:rowOff>180975</xdr:rowOff>
                  </from>
                  <to>
                    <xdr:col>7</xdr:col>
                    <xdr:colOff>962025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Save_tblSummary_ToDB">
                <anchor moveWithCells="1" sizeWithCells="1">
                  <from>
                    <xdr:col>7</xdr:col>
                    <xdr:colOff>1295400</xdr:colOff>
                    <xdr:row>0</xdr:row>
                    <xdr:rowOff>171450</xdr:rowOff>
                  </from>
                  <to>
                    <xdr:col>8</xdr:col>
                    <xdr:colOff>1524000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0DAE0B-7D1F-436C-8F5D-B254D3961DDE}">
          <x14:formula1>
            <xm:f>Master_Input!$B$92:$B$93</xm:f>
          </x14:formula1>
          <xm:sqref>L87:L93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A84BF-FEA8-44A7-9D4E-D84ADD64F5D3}">
  <sheetPr codeName="Sheet12">
    <tabColor theme="3"/>
  </sheetPr>
  <dimension ref="A1:AJ112"/>
  <sheetViews>
    <sheetView showGridLines="0" topLeftCell="B1" zoomScale="85" zoomScaleNormal="85" workbookViewId="0">
      <pane ySplit="3" topLeftCell="A85" activePane="bottomLeft" state="frozen"/>
      <selection activeCell="D3" sqref="D3"/>
      <selection pane="bottomLeft" activeCell="E43" sqref="E43"/>
    </sheetView>
  </sheetViews>
  <sheetFormatPr defaultColWidth="12.42578125" defaultRowHeight="15" x14ac:dyDescent="0.25"/>
  <cols>
    <col min="1" max="1" width="3.28515625" style="40" customWidth="1"/>
    <col min="2" max="2" width="5.7109375" style="40" customWidth="1"/>
    <col min="3" max="3" width="10.140625" style="40" customWidth="1"/>
    <col min="4" max="4" width="37.28515625" style="40" customWidth="1"/>
    <col min="5" max="5" width="37.140625" style="40" customWidth="1"/>
    <col min="6" max="6" width="43.85546875" style="40" customWidth="1"/>
    <col min="7" max="7" width="38.28515625" style="40" customWidth="1"/>
    <col min="8" max="9" width="30.42578125" style="40" customWidth="1"/>
    <col min="10" max="10" width="30.5703125" style="40" customWidth="1"/>
    <col min="11" max="11" width="35" style="40" customWidth="1"/>
    <col min="12" max="12" width="29.28515625" style="40" customWidth="1"/>
    <col min="13" max="14" width="36" style="40" customWidth="1"/>
    <col min="15" max="15" width="22.85546875" style="40" customWidth="1"/>
    <col min="16" max="16" width="32.7109375" style="40" customWidth="1"/>
    <col min="17" max="17" width="12.42578125" style="40" customWidth="1"/>
    <col min="18" max="19" width="12.42578125" style="40"/>
    <col min="20" max="34" width="12.42578125" style="40" customWidth="1"/>
    <col min="35" max="35" width="41.85546875" style="58" hidden="1" customWidth="1"/>
    <col min="36" max="16384" width="12.42578125" style="40"/>
  </cols>
  <sheetData>
    <row r="1" spans="1:35" s="43" customFormat="1" ht="35.1" customHeight="1" x14ac:dyDescent="0.25">
      <c r="A1" s="289" t="s">
        <v>399</v>
      </c>
      <c r="B1" s="289"/>
      <c r="C1" s="289"/>
      <c r="D1" s="289"/>
      <c r="F1" s="46" t="s">
        <v>99</v>
      </c>
      <c r="G1" s="47"/>
      <c r="I1" s="48"/>
      <c r="J1" s="49"/>
      <c r="K1" s="49"/>
      <c r="L1" s="49"/>
      <c r="M1" s="49"/>
      <c r="N1" s="49"/>
      <c r="AI1" s="50" t="s">
        <v>72</v>
      </c>
    </row>
    <row r="2" spans="1:35" s="43" customFormat="1" ht="23.25" customHeight="1" x14ac:dyDescent="0.25">
      <c r="A2" s="267" t="s">
        <v>0</v>
      </c>
      <c r="B2" s="267"/>
      <c r="C2" s="267"/>
      <c r="D2" s="51" t="str">
        <f>Master_Input!C6</f>
        <v>2023-2024</v>
      </c>
      <c r="F2" s="52" t="s">
        <v>89</v>
      </c>
      <c r="G2" s="53"/>
      <c r="I2" s="48"/>
      <c r="AI2" s="50" t="s">
        <v>72</v>
      </c>
    </row>
    <row r="3" spans="1:35" s="43" customFormat="1" ht="21" customHeight="1" x14ac:dyDescent="0.25">
      <c r="A3" s="266" t="s">
        <v>27</v>
      </c>
      <c r="B3" s="266"/>
      <c r="C3" s="266"/>
      <c r="D3" s="54" t="str">
        <f>Master_Input!C7</f>
        <v>FJD</v>
      </c>
      <c r="AI3" s="55"/>
    </row>
    <row r="4" spans="1:35" s="56" customFormat="1" ht="15.95" customHeight="1" x14ac:dyDescent="0.25">
      <c r="B4" s="57"/>
      <c r="C4" s="57"/>
      <c r="D4" s="57"/>
      <c r="AI4" s="58"/>
    </row>
    <row r="5" spans="1:35" x14ac:dyDescent="0.25">
      <c r="C5" s="59" t="s">
        <v>1</v>
      </c>
      <c r="D5" s="59" t="s">
        <v>2</v>
      </c>
      <c r="E5" s="59"/>
    </row>
    <row r="6" spans="1:35" x14ac:dyDescent="0.25">
      <c r="C6" s="59"/>
      <c r="D6" s="60" t="s">
        <v>3</v>
      </c>
      <c r="E6" s="59"/>
    </row>
    <row r="7" spans="1:35" x14ac:dyDescent="0.25">
      <c r="B7" s="61"/>
      <c r="C7" s="62" t="s">
        <v>4</v>
      </c>
      <c r="D7" s="263" t="s">
        <v>5</v>
      </c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5"/>
    </row>
    <row r="8" spans="1:35" s="63" customFormat="1" ht="18" customHeight="1" x14ac:dyDescent="0.25">
      <c r="C8" s="64" t="s">
        <v>6</v>
      </c>
      <c r="D8" s="64" t="s">
        <v>7</v>
      </c>
      <c r="E8" s="64" t="s">
        <v>8</v>
      </c>
      <c r="F8" s="64" t="s">
        <v>9</v>
      </c>
      <c r="G8" s="64" t="s">
        <v>73</v>
      </c>
      <c r="H8" s="64" t="s">
        <v>74</v>
      </c>
      <c r="I8" s="64" t="s">
        <v>75</v>
      </c>
      <c r="J8" s="64" t="s">
        <v>80</v>
      </c>
      <c r="K8" s="64" t="s">
        <v>76</v>
      </c>
      <c r="L8" s="64" t="s">
        <v>77</v>
      </c>
      <c r="M8" s="65" t="s">
        <v>78</v>
      </c>
      <c r="N8" s="65" t="s">
        <v>79</v>
      </c>
      <c r="O8" s="64" t="s">
        <v>41</v>
      </c>
      <c r="P8" s="64" t="s">
        <v>10</v>
      </c>
      <c r="AI8" s="58" t="s">
        <v>36</v>
      </c>
    </row>
    <row r="9" spans="1:35" s="63" customFormat="1" x14ac:dyDescent="0.25">
      <c r="C9" s="22"/>
      <c r="D9" s="22"/>
      <c r="E9" s="22">
        <v>108184.3</v>
      </c>
      <c r="F9" s="22"/>
      <c r="G9" s="22"/>
      <c r="H9" s="22"/>
      <c r="I9" s="22"/>
      <c r="J9" s="22"/>
      <c r="K9" s="22"/>
      <c r="L9" s="22"/>
      <c r="M9" s="86">
        <v>0.2</v>
      </c>
      <c r="N9" s="22">
        <f>SUM(F9:L9)*M9</f>
        <v>0</v>
      </c>
      <c r="O9" s="22"/>
      <c r="P9" s="22"/>
      <c r="AI9" s="58"/>
    </row>
    <row r="10" spans="1:35" s="63" customFormat="1" x14ac:dyDescent="0.2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86"/>
      <c r="N10" s="22">
        <f>SUM(F10:L10)*M10</f>
        <v>0</v>
      </c>
      <c r="O10" s="22"/>
      <c r="P10" s="22"/>
      <c r="AI10" s="58"/>
    </row>
    <row r="11" spans="1:35" s="63" customFormat="1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86"/>
      <c r="N11" s="22">
        <f>SUM(F11:L11)*M11</f>
        <v>0</v>
      </c>
      <c r="O11" s="22"/>
      <c r="P11" s="22"/>
      <c r="AI11" s="58"/>
    </row>
    <row r="12" spans="1:35" s="63" customFormat="1" x14ac:dyDescent="0.2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86"/>
      <c r="N12" s="22">
        <f>SUM(F12:L12)*M12</f>
        <v>0</v>
      </c>
      <c r="O12" s="22"/>
      <c r="P12" s="22"/>
      <c r="AI12" s="58"/>
    </row>
    <row r="13" spans="1:35" s="63" customFormat="1" x14ac:dyDescent="0.2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86"/>
      <c r="N13" s="22">
        <f>SUM(F13:L13)*M13</f>
        <v>0</v>
      </c>
      <c r="O13" s="22"/>
      <c r="P13" s="22"/>
      <c r="AI13" s="58"/>
    </row>
    <row r="14" spans="1:35" s="63" customFormat="1" x14ac:dyDescent="0.25"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86"/>
      <c r="N14" s="22">
        <f t="shared" ref="N14:N18" si="0">SUM(F14:L14)*M14</f>
        <v>0</v>
      </c>
      <c r="O14" s="22"/>
      <c r="P14" s="22"/>
      <c r="AI14" s="58"/>
    </row>
    <row r="15" spans="1:35" s="63" customFormat="1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86"/>
      <c r="N15" s="22">
        <f>SUM(F15:L15)*M15</f>
        <v>0</v>
      </c>
      <c r="O15" s="22"/>
      <c r="P15" s="22"/>
      <c r="AI15" s="58"/>
    </row>
    <row r="16" spans="1:35" s="63" customFormat="1" x14ac:dyDescent="0.25"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86"/>
      <c r="N16" s="22">
        <f>SUM(F16:L16)*M16</f>
        <v>0</v>
      </c>
      <c r="O16" s="22"/>
      <c r="P16" s="22"/>
      <c r="AI16" s="58"/>
    </row>
    <row r="17" spans="2:35" s="63" customFormat="1" x14ac:dyDescent="0.25"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86"/>
      <c r="N17" s="22">
        <f>SUM(F17:L17)*M17</f>
        <v>0</v>
      </c>
      <c r="O17" s="22"/>
      <c r="P17" s="22"/>
      <c r="AI17" s="58"/>
    </row>
    <row r="18" spans="2:35" s="63" customFormat="1" x14ac:dyDescent="0.25"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86"/>
      <c r="N18" s="22">
        <f t="shared" si="0"/>
        <v>0</v>
      </c>
      <c r="O18" s="22"/>
      <c r="P18" s="22"/>
      <c r="AI18" s="58"/>
    </row>
    <row r="19" spans="2:35" ht="15.75" thickBot="1" x14ac:dyDescent="0.3">
      <c r="B19" s="61"/>
      <c r="C19" s="17" t="s">
        <v>40</v>
      </c>
      <c r="D19" s="17"/>
      <c r="E19" s="17"/>
      <c r="F19" s="17">
        <f>SUBTOTAL(109,PERSONNEL_REGULAR48[Annual Salary])</f>
        <v>0</v>
      </c>
      <c r="G19" s="17">
        <f>SUBTOTAL(109,PERSONNEL_REGULAR48[Benefit/Contribution (1)])</f>
        <v>0</v>
      </c>
      <c r="H19" s="17">
        <f>SUBTOTAL(109,PERSONNEL_REGULAR48[Benefit/Contribution (2)])</f>
        <v>0</v>
      </c>
      <c r="I19" s="17">
        <f>SUBTOTAL(109,PERSONNEL_REGULAR48[Benefit/Contribution (3)])</f>
        <v>0</v>
      </c>
      <c r="J19" s="17">
        <f>SUBTOTAL(109,PERSONNEL_REGULAR48[Benefit/Contribution (4)])</f>
        <v>0</v>
      </c>
      <c r="K19" s="17">
        <f>SUBTOTAL(109,PERSONNEL_REGULAR48[Benefit/Contribution (5)])</f>
        <v>0</v>
      </c>
      <c r="L19" s="17">
        <f>SUBTOTAL(109,PERSONNEL_REGULAR48[Other Benefits])</f>
        <v>0</v>
      </c>
      <c r="M19" s="17"/>
      <c r="N19" s="17">
        <f>SUBTOTAL(109,PERSONNEL_REGULAR48[Total Yearly Personnel Expense])</f>
        <v>0</v>
      </c>
      <c r="O19" s="17"/>
      <c r="P19" s="17"/>
    </row>
    <row r="20" spans="2:35" ht="15.75" thickTop="1" x14ac:dyDescent="0.25">
      <c r="B20" s="61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R20" s="63"/>
    </row>
    <row r="21" spans="2:35" x14ac:dyDescent="0.25">
      <c r="B21" s="61"/>
      <c r="C21" s="63"/>
      <c r="D21" s="63"/>
      <c r="E21" s="63"/>
      <c r="F21" s="63"/>
      <c r="G21" s="63"/>
      <c r="I21" s="63"/>
      <c r="J21" s="63"/>
      <c r="K21" s="63"/>
      <c r="L21" s="63"/>
      <c r="M21" s="63"/>
      <c r="N21" s="63"/>
      <c r="O21" s="63"/>
      <c r="P21" s="63"/>
    </row>
    <row r="22" spans="2:35" s="63" customFormat="1" ht="18.75" customHeight="1" x14ac:dyDescent="0.25">
      <c r="AI22" s="58"/>
    </row>
    <row r="23" spans="2:35" s="63" customFormat="1" x14ac:dyDescent="0.25">
      <c r="C23" s="62" t="s">
        <v>11</v>
      </c>
      <c r="D23" s="263" t="s">
        <v>46</v>
      </c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5"/>
      <c r="AI23" s="58"/>
    </row>
    <row r="24" spans="2:35" s="63" customFormat="1" ht="14.25" customHeight="1" x14ac:dyDescent="0.25">
      <c r="C24" s="64" t="s">
        <v>6</v>
      </c>
      <c r="D24" s="64" t="s">
        <v>7</v>
      </c>
      <c r="E24" s="64" t="s">
        <v>8</v>
      </c>
      <c r="F24" s="64" t="s">
        <v>9</v>
      </c>
      <c r="G24" s="64" t="s">
        <v>73</v>
      </c>
      <c r="H24" s="64" t="s">
        <v>74</v>
      </c>
      <c r="I24" s="64" t="s">
        <v>75</v>
      </c>
      <c r="J24" s="64" t="s">
        <v>80</v>
      </c>
      <c r="K24" s="64" t="s">
        <v>76</v>
      </c>
      <c r="L24" s="64" t="s">
        <v>77</v>
      </c>
      <c r="M24" s="65" t="s">
        <v>78</v>
      </c>
      <c r="N24" s="65" t="s">
        <v>79</v>
      </c>
      <c r="O24" s="64" t="s">
        <v>41</v>
      </c>
      <c r="P24" s="64" t="s">
        <v>10</v>
      </c>
      <c r="AI24" s="58" t="s">
        <v>36</v>
      </c>
    </row>
    <row r="25" spans="2:35" s="63" customFormat="1" x14ac:dyDescent="0.25"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86"/>
      <c r="N25" s="22">
        <f t="shared" ref="N25:N30" si="1">SUM(F25:L25)*M25</f>
        <v>0</v>
      </c>
      <c r="O25" s="22"/>
      <c r="P25" s="22"/>
      <c r="AI25" s="58"/>
    </row>
    <row r="26" spans="2:35" s="63" customFormat="1" x14ac:dyDescent="0.25"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86"/>
      <c r="N26" s="22">
        <f t="shared" si="1"/>
        <v>0</v>
      </c>
      <c r="O26" s="22"/>
      <c r="P26" s="22"/>
      <c r="AI26" s="58"/>
    </row>
    <row r="27" spans="2:35" s="63" customFormat="1" x14ac:dyDescent="0.25"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86"/>
      <c r="N27" s="22">
        <f t="shared" si="1"/>
        <v>0</v>
      </c>
      <c r="O27" s="22"/>
      <c r="P27" s="22"/>
      <c r="AI27" s="58"/>
    </row>
    <row r="28" spans="2:35" s="63" customFormat="1" x14ac:dyDescent="0.25"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86"/>
      <c r="N28" s="22">
        <f>SUM(F28:L28)*M28</f>
        <v>0</v>
      </c>
      <c r="O28" s="22"/>
      <c r="P28" s="22"/>
      <c r="AI28" s="58"/>
    </row>
    <row r="29" spans="2:35" s="63" customFormat="1" x14ac:dyDescent="0.25"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86"/>
      <c r="N29" s="22">
        <f t="shared" si="1"/>
        <v>0</v>
      </c>
      <c r="O29" s="22"/>
      <c r="P29" s="22"/>
      <c r="AI29" s="58"/>
    </row>
    <row r="30" spans="2:35" s="63" customFormat="1" x14ac:dyDescent="0.25">
      <c r="B30" s="4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86"/>
      <c r="N30" s="22">
        <f t="shared" si="1"/>
        <v>0</v>
      </c>
      <c r="O30" s="22"/>
      <c r="P30" s="22"/>
      <c r="AI30" s="58"/>
    </row>
    <row r="31" spans="2:35" s="63" customFormat="1" ht="15.75" thickBot="1" x14ac:dyDescent="0.3">
      <c r="B31" s="40"/>
      <c r="C31" s="17" t="s">
        <v>40</v>
      </c>
      <c r="D31" s="17"/>
      <c r="E31" s="17"/>
      <c r="F31" s="17">
        <f>SUBTOTAL(109,PERSONNEL_CONTRACTUAL49[Annual Salary])</f>
        <v>0</v>
      </c>
      <c r="G31" s="17">
        <f>SUBTOTAL(109,PERSONNEL_CONTRACTUAL49[Benefit/Contribution (1)])</f>
        <v>0</v>
      </c>
      <c r="H31" s="17">
        <f>SUBTOTAL(109,PERSONNEL_CONTRACTUAL49[Benefit/Contribution (2)])</f>
        <v>0</v>
      </c>
      <c r="I31" s="17">
        <f>SUBTOTAL(109,PERSONNEL_CONTRACTUAL49[Benefit/Contribution (3)])</f>
        <v>0</v>
      </c>
      <c r="J31" s="17">
        <f>SUBTOTAL(109,PERSONNEL_CONTRACTUAL49[Benefit/Contribution (4)])</f>
        <v>0</v>
      </c>
      <c r="K31" s="17">
        <f>SUBTOTAL(109,PERSONNEL_CONTRACTUAL49[Benefit/Contribution (5)])</f>
        <v>0</v>
      </c>
      <c r="L31" s="17">
        <f>SUBTOTAL(109,PERSONNEL_CONTRACTUAL49[Other Benefits])</f>
        <v>0</v>
      </c>
      <c r="M31" s="17"/>
      <c r="N31" s="17">
        <f>SUBTOTAL(109,PERSONNEL_CONTRACTUAL49[Total Yearly Personnel Expense])</f>
        <v>0</v>
      </c>
      <c r="O31" s="17"/>
      <c r="P31" s="17"/>
      <c r="AI31" s="58"/>
    </row>
    <row r="32" spans="2:35" s="63" customFormat="1" ht="15.75" thickTop="1" x14ac:dyDescent="0.25">
      <c r="B32" s="40"/>
      <c r="AI32" s="58"/>
    </row>
    <row r="33" spans="2:35" s="63" customFormat="1" x14ac:dyDescent="0.25">
      <c r="B33" s="40"/>
      <c r="AI33" s="58"/>
    </row>
    <row r="34" spans="2:35" s="63" customFormat="1" x14ac:dyDescent="0.25">
      <c r="AI34" s="58"/>
    </row>
    <row r="35" spans="2:35" s="63" customFormat="1" x14ac:dyDescent="0.25">
      <c r="G35" s="40"/>
      <c r="AI35" s="58"/>
    </row>
    <row r="36" spans="2:35" s="63" customFormat="1" x14ac:dyDescent="0.25">
      <c r="C36" s="59" t="s">
        <v>1</v>
      </c>
      <c r="D36" s="59" t="s">
        <v>2</v>
      </c>
      <c r="E36" s="59"/>
      <c r="AI36" s="58"/>
    </row>
    <row r="37" spans="2:35" s="63" customFormat="1" x14ac:dyDescent="0.25">
      <c r="C37" s="59"/>
      <c r="D37" s="60" t="s">
        <v>50</v>
      </c>
      <c r="E37" s="59"/>
      <c r="AI37" s="58"/>
    </row>
    <row r="38" spans="2:35" s="63" customFormat="1" x14ac:dyDescent="0.25">
      <c r="C38" s="66" t="s">
        <v>6</v>
      </c>
      <c r="D38" s="23" t="s">
        <v>12</v>
      </c>
      <c r="E38" s="23" t="s">
        <v>13</v>
      </c>
      <c r="F38" s="67" t="s">
        <v>10</v>
      </c>
      <c r="AI38" s="58" t="s">
        <v>36</v>
      </c>
    </row>
    <row r="39" spans="2:35" s="63" customFormat="1" x14ac:dyDescent="0.25">
      <c r="C39" s="22"/>
      <c r="D39" s="68" t="s">
        <v>52</v>
      </c>
      <c r="E39" s="22"/>
      <c r="F39" s="22"/>
      <c r="AI39" s="58"/>
    </row>
    <row r="40" spans="2:35" s="63" customFormat="1" x14ac:dyDescent="0.25">
      <c r="C40" s="22"/>
      <c r="D40" s="68" t="s">
        <v>53</v>
      </c>
      <c r="E40" s="22"/>
      <c r="F40" s="22"/>
      <c r="AI40" s="58"/>
    </row>
    <row r="41" spans="2:35" s="63" customFormat="1" x14ac:dyDescent="0.25">
      <c r="C41" s="22"/>
      <c r="D41" s="68" t="s">
        <v>54</v>
      </c>
      <c r="E41" s="22"/>
      <c r="F41" s="22"/>
      <c r="AI41" s="58"/>
    </row>
    <row r="42" spans="2:35" s="63" customFormat="1" x14ac:dyDescent="0.25">
      <c r="C42" s="22"/>
      <c r="D42" s="68" t="s">
        <v>55</v>
      </c>
      <c r="E42" s="22">
        <v>1200</v>
      </c>
      <c r="F42" s="22"/>
      <c r="AI42" s="58"/>
    </row>
    <row r="43" spans="2:35" s="63" customFormat="1" x14ac:dyDescent="0.25">
      <c r="C43" s="22"/>
      <c r="D43" s="68" t="s">
        <v>56</v>
      </c>
      <c r="E43" s="22"/>
      <c r="F43" s="22"/>
      <c r="AI43" s="58"/>
    </row>
    <row r="44" spans="2:35" s="63" customFormat="1" x14ac:dyDescent="0.25">
      <c r="C44" s="22"/>
      <c r="D44" s="40" t="s">
        <v>57</v>
      </c>
      <c r="E44" s="22"/>
      <c r="F44" s="22"/>
      <c r="AI44" s="58"/>
    </row>
    <row r="45" spans="2:35" s="63" customFormat="1" x14ac:dyDescent="0.25">
      <c r="C45" s="22"/>
      <c r="D45" s="40" t="s">
        <v>58</v>
      </c>
      <c r="E45" s="22"/>
      <c r="F45" s="22"/>
      <c r="AI45" s="58"/>
    </row>
    <row r="46" spans="2:35" s="63" customFormat="1" x14ac:dyDescent="0.25">
      <c r="C46" s="22"/>
      <c r="D46" s="40" t="s">
        <v>59</v>
      </c>
      <c r="E46" s="22"/>
      <c r="F46" s="22"/>
      <c r="AI46" s="58"/>
    </row>
    <row r="47" spans="2:35" s="63" customFormat="1" x14ac:dyDescent="0.25">
      <c r="C47" s="22"/>
      <c r="D47" s="40" t="s">
        <v>60</v>
      </c>
      <c r="E47" s="22"/>
      <c r="F47" s="22"/>
      <c r="AI47" s="58"/>
    </row>
    <row r="48" spans="2:35" s="63" customFormat="1" x14ac:dyDescent="0.25">
      <c r="C48" s="22"/>
      <c r="D48" s="40" t="s">
        <v>61</v>
      </c>
      <c r="E48" s="22"/>
      <c r="F48" s="22"/>
      <c r="AI48" s="58"/>
    </row>
    <row r="49" spans="2:35" s="63" customFormat="1" x14ac:dyDescent="0.25">
      <c r="C49" s="22"/>
      <c r="D49" s="40" t="s">
        <v>62</v>
      </c>
      <c r="E49" s="22"/>
      <c r="F49" s="22"/>
      <c r="AI49" s="58"/>
    </row>
    <row r="50" spans="2:35" s="63" customFormat="1" x14ac:dyDescent="0.25">
      <c r="C50" s="22"/>
      <c r="D50" s="40" t="s">
        <v>63</v>
      </c>
      <c r="E50" s="22"/>
      <c r="F50" s="22"/>
      <c r="AI50" s="58"/>
    </row>
    <row r="51" spans="2:35" s="63" customFormat="1" x14ac:dyDescent="0.25">
      <c r="C51" s="22"/>
      <c r="D51" s="40" t="s">
        <v>64</v>
      </c>
      <c r="E51" s="22"/>
      <c r="F51" s="22"/>
      <c r="AI51" s="58"/>
    </row>
    <row r="52" spans="2:35" s="63" customFormat="1" x14ac:dyDescent="0.25">
      <c r="C52" s="22"/>
      <c r="D52" s="68" t="s">
        <v>66</v>
      </c>
      <c r="E52" s="22"/>
      <c r="F52" s="22"/>
      <c r="AI52" s="58"/>
    </row>
    <row r="53" spans="2:35" s="63" customFormat="1" x14ac:dyDescent="0.25">
      <c r="C53" s="22"/>
      <c r="D53" s="68" t="s">
        <v>67</v>
      </c>
      <c r="E53" s="22"/>
      <c r="F53" s="22"/>
      <c r="AI53" s="58"/>
    </row>
    <row r="54" spans="2:35" s="63" customFormat="1" x14ac:dyDescent="0.25">
      <c r="C54" s="22"/>
      <c r="D54" s="68" t="s">
        <v>68</v>
      </c>
      <c r="E54" s="22"/>
      <c r="F54" s="22"/>
      <c r="AI54" s="58"/>
    </row>
    <row r="55" spans="2:35" s="63" customFormat="1" x14ac:dyDescent="0.25">
      <c r="C55" s="22"/>
      <c r="D55" s="68" t="s">
        <v>69</v>
      </c>
      <c r="E55" s="22"/>
      <c r="F55" s="22"/>
      <c r="AI55" s="58"/>
    </row>
    <row r="56" spans="2:35" s="63" customFormat="1" x14ac:dyDescent="0.25">
      <c r="C56" s="22"/>
      <c r="D56" s="68" t="s">
        <v>70</v>
      </c>
      <c r="E56" s="22"/>
      <c r="F56" s="22"/>
      <c r="AI56" s="58"/>
    </row>
    <row r="57" spans="2:35" s="63" customFormat="1" x14ac:dyDescent="0.25">
      <c r="C57" s="22"/>
      <c r="D57" s="68" t="s">
        <v>65</v>
      </c>
      <c r="E57" s="22"/>
      <c r="F57" s="22"/>
      <c r="AI57" s="58"/>
    </row>
    <row r="58" spans="2:35" s="63" customFormat="1" x14ac:dyDescent="0.25">
      <c r="C58" s="22"/>
      <c r="D58" s="68" t="s">
        <v>65</v>
      </c>
      <c r="E58" s="22"/>
      <c r="F58" s="22"/>
      <c r="AI58" s="58"/>
    </row>
    <row r="59" spans="2:35" s="63" customFormat="1" x14ac:dyDescent="0.25">
      <c r="C59" s="22"/>
      <c r="D59" s="68" t="s">
        <v>65</v>
      </c>
      <c r="E59" s="22"/>
      <c r="F59" s="22"/>
      <c r="AI59" s="58"/>
    </row>
    <row r="60" spans="2:35" s="63" customFormat="1" x14ac:dyDescent="0.25">
      <c r="C60" s="22"/>
      <c r="D60" s="68" t="s">
        <v>65</v>
      </c>
      <c r="E60" s="22"/>
      <c r="F60" s="22"/>
      <c r="AI60" s="58"/>
    </row>
    <row r="61" spans="2:35" s="63" customFormat="1" x14ac:dyDescent="0.25">
      <c r="C61" s="22"/>
      <c r="D61" s="68" t="s">
        <v>65</v>
      </c>
      <c r="E61" s="22"/>
      <c r="F61" s="22"/>
      <c r="AI61" s="58"/>
    </row>
    <row r="62" spans="2:35" s="63" customFormat="1" x14ac:dyDescent="0.25">
      <c r="C62" s="22"/>
      <c r="D62" s="68" t="s">
        <v>65</v>
      </c>
      <c r="E62" s="22"/>
      <c r="F62" s="22"/>
      <c r="AI62" s="58"/>
    </row>
    <row r="63" spans="2:35" s="63" customFormat="1" x14ac:dyDescent="0.25">
      <c r="B63" s="40"/>
      <c r="C63" s="22"/>
      <c r="D63" s="68" t="s">
        <v>65</v>
      </c>
      <c r="E63" s="22"/>
      <c r="F63" s="22"/>
      <c r="AI63" s="58"/>
    </row>
    <row r="64" spans="2:35" s="63" customFormat="1" x14ac:dyDescent="0.25">
      <c r="B64" s="40"/>
      <c r="C64" s="22"/>
      <c r="D64" s="68" t="s">
        <v>65</v>
      </c>
      <c r="E64" s="22"/>
      <c r="F64" s="22"/>
      <c r="AI64" s="58"/>
    </row>
    <row r="65" spans="2:35" s="63" customFormat="1" x14ac:dyDescent="0.25">
      <c r="B65" s="40"/>
      <c r="C65" s="22"/>
      <c r="D65" s="68" t="s">
        <v>65</v>
      </c>
      <c r="E65" s="22"/>
      <c r="F65" s="22"/>
      <c r="AI65" s="58"/>
    </row>
    <row r="66" spans="2:35" s="63" customFormat="1" ht="15.75" thickBot="1" x14ac:dyDescent="0.3">
      <c r="B66" s="40"/>
      <c r="C66" s="17" t="s">
        <v>40</v>
      </c>
      <c r="D66" s="17"/>
      <c r="E66" s="17">
        <f>SUBTOTAL(109,OPEX_COSTS45[Total Annual Cost])</f>
        <v>1200</v>
      </c>
      <c r="F66" s="17"/>
      <c r="AI66" s="58"/>
    </row>
    <row r="67" spans="2:35" s="63" customFormat="1" ht="15.75" thickTop="1" x14ac:dyDescent="0.25">
      <c r="B67" s="40"/>
      <c r="AI67" s="58"/>
    </row>
    <row r="68" spans="2:35" s="63" customFormat="1" x14ac:dyDescent="0.25">
      <c r="AI68" s="58"/>
    </row>
    <row r="69" spans="2:35" s="63" customFormat="1" x14ac:dyDescent="0.25">
      <c r="AI69" s="58"/>
    </row>
    <row r="70" spans="2:35" s="63" customFormat="1" x14ac:dyDescent="0.25">
      <c r="C70" s="59" t="s">
        <v>1</v>
      </c>
      <c r="D70" s="59" t="s">
        <v>2</v>
      </c>
      <c r="E70" s="59"/>
      <c r="AI70" s="58"/>
    </row>
    <row r="71" spans="2:35" s="63" customFormat="1" x14ac:dyDescent="0.25">
      <c r="C71" s="59"/>
      <c r="D71" s="60" t="s">
        <v>81</v>
      </c>
      <c r="E71" s="59"/>
      <c r="AI71" s="58"/>
    </row>
    <row r="72" spans="2:35" s="63" customFormat="1" x14ac:dyDescent="0.25">
      <c r="C72" s="66" t="s">
        <v>28</v>
      </c>
      <c r="D72" s="23" t="s">
        <v>12</v>
      </c>
      <c r="E72" s="23" t="s">
        <v>14</v>
      </c>
      <c r="F72" s="23" t="s">
        <v>15</v>
      </c>
      <c r="G72" s="23" t="s">
        <v>13</v>
      </c>
      <c r="H72" s="67" t="s">
        <v>10</v>
      </c>
      <c r="AI72" s="58" t="s">
        <v>36</v>
      </c>
    </row>
    <row r="73" spans="2:35" s="63" customFormat="1" x14ac:dyDescent="0.25">
      <c r="C73" s="22"/>
      <c r="D73" s="22"/>
      <c r="E73" s="22"/>
      <c r="F73" s="22"/>
      <c r="G73" s="22">
        <f>OTHER_COST46[[#This Row],[Cost per Unit]]*OTHER_COST46[[#This Row],[Units]]</f>
        <v>0</v>
      </c>
      <c r="H73" s="22"/>
      <c r="AI73" s="58"/>
    </row>
    <row r="74" spans="2:35" s="63" customFormat="1" x14ac:dyDescent="0.25">
      <c r="C74" s="22"/>
      <c r="D74" s="22"/>
      <c r="E74" s="22"/>
      <c r="F74" s="22"/>
      <c r="G74" s="22">
        <f>OTHER_COST46[[#This Row],[Cost per Unit]]*OTHER_COST46[[#This Row],[Units]]</f>
        <v>0</v>
      </c>
      <c r="H74" s="22"/>
      <c r="AI74" s="58"/>
    </row>
    <row r="75" spans="2:35" s="63" customFormat="1" x14ac:dyDescent="0.25">
      <c r="C75" s="22"/>
      <c r="D75" s="22"/>
      <c r="E75" s="22"/>
      <c r="F75" s="22"/>
      <c r="G75" s="22">
        <f>OTHER_COST46[[#This Row],[Cost per Unit]]*OTHER_COST46[[#This Row],[Units]]</f>
        <v>0</v>
      </c>
      <c r="H75" s="22"/>
      <c r="AI75" s="58"/>
    </row>
    <row r="76" spans="2:35" s="63" customFormat="1" x14ac:dyDescent="0.25">
      <c r="C76" s="22"/>
      <c r="D76" s="22"/>
      <c r="E76" s="22"/>
      <c r="F76" s="22"/>
      <c r="G76" s="22">
        <f>OTHER_COST46[[#This Row],[Cost per Unit]]*OTHER_COST46[[#This Row],[Units]]</f>
        <v>0</v>
      </c>
      <c r="H76" s="22"/>
      <c r="AI76" s="58"/>
    </row>
    <row r="77" spans="2:35" s="63" customFormat="1" x14ac:dyDescent="0.25">
      <c r="B77" s="40"/>
      <c r="C77" s="22"/>
      <c r="D77" s="22"/>
      <c r="E77" s="22"/>
      <c r="F77" s="22"/>
      <c r="G77" s="22">
        <f>OTHER_COST46[[#This Row],[Cost per Unit]]*OTHER_COST46[[#This Row],[Units]]</f>
        <v>0</v>
      </c>
      <c r="H77" s="22"/>
      <c r="AI77" s="58"/>
    </row>
    <row r="78" spans="2:35" s="63" customFormat="1" x14ac:dyDescent="0.25">
      <c r="B78" s="40"/>
      <c r="C78" s="22"/>
      <c r="D78" s="22"/>
      <c r="E78" s="22"/>
      <c r="F78" s="22"/>
      <c r="G78" s="22">
        <f>OTHER_COST46[[#This Row],[Cost per Unit]]*OTHER_COST46[[#This Row],[Units]]</f>
        <v>0</v>
      </c>
      <c r="H78" s="22"/>
      <c r="AI78" s="58"/>
    </row>
    <row r="79" spans="2:35" s="63" customFormat="1" x14ac:dyDescent="0.25">
      <c r="B79" s="40"/>
      <c r="C79" s="22"/>
      <c r="D79" s="22"/>
      <c r="E79" s="22"/>
      <c r="F79" s="22"/>
      <c r="G79" s="22">
        <f t="shared" ref="G79" si="2">E79*F79</f>
        <v>0</v>
      </c>
      <c r="H79" s="22"/>
      <c r="AI79" s="58"/>
    </row>
    <row r="80" spans="2:35" s="63" customFormat="1" ht="15.75" thickBot="1" x14ac:dyDescent="0.3">
      <c r="B80" s="40"/>
      <c r="C80" s="69" t="s">
        <v>40</v>
      </c>
      <c r="D80" s="69"/>
      <c r="E80" s="69"/>
      <c r="F80" s="69"/>
      <c r="G80" s="69">
        <f>SUBTOTAL(109,OTHER_COST46[Total Annual Cost])</f>
        <v>0</v>
      </c>
      <c r="H80" s="69"/>
      <c r="AI80" s="58"/>
    </row>
    <row r="81" spans="2:36" s="63" customFormat="1" ht="15.75" thickTop="1" x14ac:dyDescent="0.25">
      <c r="B81" s="40"/>
      <c r="AI81" s="58"/>
    </row>
    <row r="82" spans="2:36" s="63" customFormat="1" x14ac:dyDescent="0.25">
      <c r="B82" s="40"/>
      <c r="AI82" s="58"/>
    </row>
    <row r="83" spans="2:36" s="63" customFormat="1" x14ac:dyDescent="0.25">
      <c r="AI83" s="58"/>
    </row>
    <row r="84" spans="2:36" s="63" customFormat="1" x14ac:dyDescent="0.25">
      <c r="C84" s="59" t="s">
        <v>1</v>
      </c>
      <c r="D84" s="59" t="s">
        <v>2</v>
      </c>
      <c r="E84" s="59"/>
      <c r="AI84" s="58"/>
    </row>
    <row r="85" spans="2:36" s="63" customFormat="1" x14ac:dyDescent="0.25">
      <c r="C85" s="59"/>
      <c r="D85" s="60" t="s">
        <v>16</v>
      </c>
      <c r="E85" s="59"/>
      <c r="AI85" s="58"/>
    </row>
    <row r="86" spans="2:36" s="70" customFormat="1" ht="33" customHeight="1" x14ac:dyDescent="0.25">
      <c r="C86" s="71" t="s">
        <v>17</v>
      </c>
      <c r="D86" s="24" t="s">
        <v>12</v>
      </c>
      <c r="E86" s="24" t="s">
        <v>18</v>
      </c>
      <c r="F86" s="24" t="s">
        <v>19</v>
      </c>
      <c r="G86" s="24" t="s">
        <v>20</v>
      </c>
      <c r="H86" s="24" t="s">
        <v>21</v>
      </c>
      <c r="I86" s="24" t="s">
        <v>22</v>
      </c>
      <c r="J86" s="24" t="s">
        <v>23</v>
      </c>
      <c r="K86" s="24" t="s">
        <v>24</v>
      </c>
      <c r="L86" s="24" t="s">
        <v>364</v>
      </c>
      <c r="M86" s="24" t="s">
        <v>25</v>
      </c>
      <c r="N86" s="72" t="s">
        <v>10</v>
      </c>
      <c r="AJ86" s="73" t="s">
        <v>36</v>
      </c>
    </row>
    <row r="87" spans="2:36" s="63" customFormat="1" x14ac:dyDescent="0.25">
      <c r="C87" s="22"/>
      <c r="D87" s="22"/>
      <c r="E87" s="248"/>
      <c r="F87" s="22"/>
      <c r="G87" s="22"/>
      <c r="H87" s="22">
        <f>DEPRECIATION47[[#This Row],[Initial Cost If Purchased or Value of Granted Asset]]-DEPRECIATION47[[#This Row],[Salvage Value]]</f>
        <v>0</v>
      </c>
      <c r="I87" s="248"/>
      <c r="J87" s="22"/>
      <c r="K87" s="22">
        <f>IFERROR(DEPRECIATION47[[#This Row],[Depreciable Cost]]/DEPRECIATION47[[#This Row],[Useful Life]], 0)</f>
        <v>0</v>
      </c>
      <c r="L87" s="22" t="s">
        <v>28</v>
      </c>
      <c r="M87" s="22">
        <f>IF(DEPRECIATION47[[#This Row],[Exceeded useful life]]="YES",0,IFERROR(DEPRECIATION47[[#This Row],[Number of Assets]]*DEPRECIATION47[[#This Row],[Annual Depreciation]],0))</f>
        <v>0</v>
      </c>
      <c r="N87" s="22"/>
      <c r="AJ87" s="58"/>
    </row>
    <row r="88" spans="2:36" s="63" customFormat="1" x14ac:dyDescent="0.25">
      <c r="C88" s="22"/>
      <c r="D88" s="22"/>
      <c r="E88" s="248"/>
      <c r="F88" s="22"/>
      <c r="G88" s="22"/>
      <c r="H88" s="22">
        <f>DEPRECIATION47[[#This Row],[Initial Cost If Purchased or Value of Granted Asset]]-DEPRECIATION47[[#This Row],[Salvage Value]]</f>
        <v>0</v>
      </c>
      <c r="I88" s="248"/>
      <c r="J88" s="22"/>
      <c r="K88" s="22">
        <f>IFERROR(DEPRECIATION47[[#This Row],[Depreciable Cost]]/DEPRECIATION47[[#This Row],[Useful Life]], 0)</f>
        <v>0</v>
      </c>
      <c r="L88" s="22" t="s">
        <v>28</v>
      </c>
      <c r="M88" s="22">
        <f>IF(DEPRECIATION47[[#This Row],[Exceeded useful life]]="YES",0,IFERROR(DEPRECIATION47[[#This Row],[Number of Assets]]*DEPRECIATION47[[#This Row],[Annual Depreciation]],0))</f>
        <v>0</v>
      </c>
      <c r="N88" s="22"/>
      <c r="AJ88" s="58"/>
    </row>
    <row r="89" spans="2:36" s="63" customFormat="1" x14ac:dyDescent="0.25">
      <c r="B89" s="40"/>
      <c r="C89" s="22"/>
      <c r="D89" s="22"/>
      <c r="E89" s="248"/>
      <c r="F89" s="22"/>
      <c r="G89" s="22"/>
      <c r="H89" s="22">
        <f>DEPRECIATION47[[#This Row],[Initial Cost If Purchased or Value of Granted Asset]]-DEPRECIATION47[[#This Row],[Salvage Value]]</f>
        <v>0</v>
      </c>
      <c r="I89" s="248"/>
      <c r="J89" s="22"/>
      <c r="K89" s="22">
        <f>IFERROR(DEPRECIATION47[[#This Row],[Depreciable Cost]]/DEPRECIATION47[[#This Row],[Useful Life]], 0)</f>
        <v>0</v>
      </c>
      <c r="L89" s="22" t="s">
        <v>28</v>
      </c>
      <c r="M89" s="22">
        <f>IF(DEPRECIATION47[[#This Row],[Exceeded useful life]]="YES",0,IFERROR(DEPRECIATION47[[#This Row],[Number of Assets]]*DEPRECIATION47[[#This Row],[Annual Depreciation]],0))</f>
        <v>0</v>
      </c>
      <c r="N89" s="22"/>
      <c r="AJ89" s="58"/>
    </row>
    <row r="90" spans="2:36" s="63" customFormat="1" x14ac:dyDescent="0.25">
      <c r="B90" s="40"/>
      <c r="C90" s="22"/>
      <c r="D90" s="22"/>
      <c r="E90" s="248"/>
      <c r="F90" s="22"/>
      <c r="G90" s="22"/>
      <c r="H90" s="22">
        <f>DEPRECIATION47[[#This Row],[Initial Cost If Purchased or Value of Granted Asset]]-DEPRECIATION47[[#This Row],[Salvage Value]]</f>
        <v>0</v>
      </c>
      <c r="I90" s="248"/>
      <c r="J90" s="22"/>
      <c r="K90" s="22">
        <f>IFERROR(DEPRECIATION47[[#This Row],[Depreciable Cost]]/DEPRECIATION47[[#This Row],[Useful Life]], 0)</f>
        <v>0</v>
      </c>
      <c r="L90" s="22" t="s">
        <v>28</v>
      </c>
      <c r="M90" s="22">
        <f>IF(DEPRECIATION47[[#This Row],[Exceeded useful life]]="YES",0,IFERROR(DEPRECIATION47[[#This Row],[Number of Assets]]*DEPRECIATION47[[#This Row],[Annual Depreciation]],0))</f>
        <v>0</v>
      </c>
      <c r="N90" s="22"/>
      <c r="AJ90" s="58"/>
    </row>
    <row r="91" spans="2:36" s="63" customFormat="1" x14ac:dyDescent="0.25">
      <c r="B91" s="40"/>
      <c r="C91" s="22"/>
      <c r="D91" s="22"/>
      <c r="E91" s="248"/>
      <c r="F91" s="22"/>
      <c r="G91" s="22"/>
      <c r="H91" s="22">
        <f>DEPRECIATION47[[#This Row],[Initial Cost If Purchased or Value of Granted Asset]]-DEPRECIATION47[[#This Row],[Salvage Value]]</f>
        <v>0</v>
      </c>
      <c r="I91" s="248"/>
      <c r="J91" s="22"/>
      <c r="K91" s="22">
        <f>IFERROR(DEPRECIATION47[[#This Row],[Depreciable Cost]]/DEPRECIATION47[[#This Row],[Useful Life]], 0)</f>
        <v>0</v>
      </c>
      <c r="L91" s="22" t="s">
        <v>28</v>
      </c>
      <c r="M91" s="22">
        <f>IF(DEPRECIATION47[[#This Row],[Exceeded useful life]]="YES",0,IFERROR(DEPRECIATION47[[#This Row],[Number of Assets]]*DEPRECIATION47[[#This Row],[Annual Depreciation]],0))</f>
        <v>0</v>
      </c>
      <c r="N91" s="22"/>
      <c r="AJ91" s="58"/>
    </row>
    <row r="92" spans="2:36" s="63" customFormat="1" x14ac:dyDescent="0.25">
      <c r="B92" s="40"/>
      <c r="C92" s="22"/>
      <c r="D92" s="22"/>
      <c r="E92" s="248"/>
      <c r="F92" s="22"/>
      <c r="G92" s="22"/>
      <c r="H92" s="22">
        <f>DEPRECIATION47[[#This Row],[Initial Cost If Purchased or Value of Granted Asset]]-DEPRECIATION47[[#This Row],[Salvage Value]]</f>
        <v>0</v>
      </c>
      <c r="I92" s="248"/>
      <c r="J92" s="22"/>
      <c r="K92" s="22">
        <f>IFERROR(DEPRECIATION47[[#This Row],[Depreciable Cost]]/DEPRECIATION47[[#This Row],[Useful Life]], 0)</f>
        <v>0</v>
      </c>
      <c r="L92" s="22" t="s">
        <v>28</v>
      </c>
      <c r="M92" s="22">
        <f>IF(DEPRECIATION47[[#This Row],[Exceeded useful life]]="YES",0,IFERROR(DEPRECIATION47[[#This Row],[Number of Assets]]*DEPRECIATION47[[#This Row],[Annual Depreciation]],0))</f>
        <v>0</v>
      </c>
      <c r="N92" s="22"/>
      <c r="AJ92" s="58"/>
    </row>
    <row r="93" spans="2:36" s="63" customFormat="1" x14ac:dyDescent="0.25">
      <c r="B93" s="40"/>
      <c r="C93" s="22"/>
      <c r="D93" s="22"/>
      <c r="E93" s="248"/>
      <c r="F93" s="22"/>
      <c r="G93" s="22"/>
      <c r="H93" s="22">
        <f>DEPRECIATION47[[#This Row],[Initial Cost If Purchased or Value of Granted Asset]]-DEPRECIATION47[[#This Row],[Salvage Value]]</f>
        <v>0</v>
      </c>
      <c r="I93" s="248"/>
      <c r="J93" s="22"/>
      <c r="K93" s="22">
        <f>IFERROR(DEPRECIATION47[[#This Row],[Depreciable Cost]]/DEPRECIATION47[[#This Row],[Useful Life]], 0)</f>
        <v>0</v>
      </c>
      <c r="L93" s="22" t="s">
        <v>28</v>
      </c>
      <c r="M93" s="22">
        <f>IF(DEPRECIATION47[[#This Row],[Exceeded useful life]]="YES",0,IFERROR(DEPRECIATION47[[#This Row],[Number of Assets]]*DEPRECIATION47[[#This Row],[Annual Depreciation]],0))</f>
        <v>0</v>
      </c>
      <c r="N93" s="22"/>
      <c r="AJ93" s="58"/>
    </row>
    <row r="94" spans="2:36" s="63" customFormat="1" ht="15.75" thickBot="1" x14ac:dyDescent="0.3">
      <c r="B94" s="40"/>
      <c r="C94" s="17" t="s">
        <v>40</v>
      </c>
      <c r="D94" s="17"/>
      <c r="E94" s="17"/>
      <c r="F94" s="17"/>
      <c r="G94" s="17"/>
      <c r="H94" s="17">
        <f>SUBTOTAL(109,DEPRECIATION47[Depreciable Cost])</f>
        <v>0</v>
      </c>
      <c r="I94" s="17"/>
      <c r="J94" s="17"/>
      <c r="K94" s="17"/>
      <c r="L94" s="17"/>
      <c r="M94" s="17">
        <f>SUBTOTAL(109,DEPRECIATION47[Total Depreciation])</f>
        <v>0</v>
      </c>
      <c r="N94" s="17"/>
      <c r="AJ94" s="58"/>
    </row>
    <row r="95" spans="2:36" s="63" customFormat="1" ht="15.75" thickTop="1" x14ac:dyDescent="0.25">
      <c r="AI95" s="58"/>
    </row>
    <row r="96" spans="2:36" s="63" customFormat="1" x14ac:dyDescent="0.25">
      <c r="AI96" s="58"/>
    </row>
    <row r="97" spans="4:35" s="63" customFormat="1" x14ac:dyDescent="0.25">
      <c r="J97" s="40"/>
      <c r="AI97" s="58"/>
    </row>
    <row r="101" spans="4:35" ht="18.75" x14ac:dyDescent="0.25">
      <c r="D101" s="74" t="s">
        <v>144</v>
      </c>
      <c r="E101" s="75" t="str">
        <f>A1</f>
        <v>Public Awareness</v>
      </c>
    </row>
    <row r="102" spans="4:35" ht="20.25" customHeight="1" x14ac:dyDescent="0.25">
      <c r="D102" s="76" t="s">
        <v>49</v>
      </c>
      <c r="E102" s="42">
        <f>tblSummaryCash50[[#Totals],[(HIDDEN)2]]</f>
        <v>1200</v>
      </c>
    </row>
    <row r="103" spans="4:35" ht="15.75" hidden="1" customHeight="1" x14ac:dyDescent="0.25">
      <c r="D103" s="77" t="s">
        <v>142</v>
      </c>
      <c r="E103" s="77" t="s">
        <v>143</v>
      </c>
      <c r="AG103" s="58"/>
      <c r="AI103" s="40"/>
    </row>
    <row r="104" spans="4:35" ht="18.75" x14ac:dyDescent="0.25">
      <c r="D104" s="78" t="s">
        <v>47</v>
      </c>
      <c r="E104" s="79">
        <f>PERSONNEL_REGULAR48[[#Totals],[Total Yearly Personnel Expense]]+PERSONNEL_CONTRACTUAL49[[#Totals],[Total Yearly Personnel Expense]]</f>
        <v>0</v>
      </c>
      <c r="G104" s="87"/>
      <c r="AG104" s="58"/>
      <c r="AI104" s="40"/>
    </row>
    <row r="105" spans="4:35" s="81" customFormat="1" ht="18.75" x14ac:dyDescent="0.25">
      <c r="D105" s="78" t="s">
        <v>82</v>
      </c>
      <c r="E105" s="80">
        <f>SUM(
SUBTOTAL(109,OPEX_COSTS45[Total Annual Cost]),
SUBTOTAL(109,OTHER_COST46[Total Annual Cost])
)</f>
        <v>1200</v>
      </c>
      <c r="AG105" s="58"/>
    </row>
    <row r="106" spans="4:35" s="81" customFormat="1" ht="18.75" hidden="1" x14ac:dyDescent="0.25">
      <c r="D106" s="82" t="s">
        <v>141</v>
      </c>
      <c r="E106" s="83">
        <f>PERSONNEL_REGULAR48[[#Totals],[Total Yearly Personnel Expense]]+PERSONNEL_CONTRACTUAL49[[#Totals],[Total Yearly Personnel Expense]]+SUBTOTAL(109,OPEX_COSTS45[Total Annual Cost])+
SUBTOTAL(109,OTHER_COST46[Total Annual Cost])</f>
        <v>1200</v>
      </c>
      <c r="AG106" s="58" t="s">
        <v>120</v>
      </c>
    </row>
    <row r="107" spans="4:35" hidden="1" x14ac:dyDescent="0.25">
      <c r="D107" s="84" t="s">
        <v>142</v>
      </c>
      <c r="E107" s="84" t="s">
        <v>143</v>
      </c>
    </row>
    <row r="108" spans="4:35" ht="18.75" x14ac:dyDescent="0.25">
      <c r="D108" s="76" t="s">
        <v>48</v>
      </c>
      <c r="E108" s="42">
        <f>DEPRECIATION47[[#Totals],[Total Depreciation]]</f>
        <v>0</v>
      </c>
      <c r="AI108" s="58" t="s">
        <v>156</v>
      </c>
    </row>
    <row r="109" spans="4:35" ht="18.75" hidden="1" x14ac:dyDescent="0.25">
      <c r="D109" s="85" t="s">
        <v>141</v>
      </c>
      <c r="E109" s="39">
        <f>SUBTOTAL(109,tblSummaryNonCash51[(HIDDEN)2])</f>
        <v>0</v>
      </c>
    </row>
    <row r="110" spans="4:35" x14ac:dyDescent="0.25">
      <c r="D110" s="41"/>
      <c r="E110" s="41">
        <f>tblSummaryCash50[[#Totals],[(HIDDEN)2]]+tblSummaryNonCash51[[#Totals],[(HIDDEN)2]]</f>
        <v>1200</v>
      </c>
    </row>
    <row r="112" spans="4:35" ht="11.25" customHeight="1" x14ac:dyDescent="0.25"/>
  </sheetData>
  <mergeCells count="5">
    <mergeCell ref="A2:C2"/>
    <mergeCell ref="A3:C3"/>
    <mergeCell ref="D7:P7"/>
    <mergeCell ref="D23:P23"/>
    <mergeCell ref="A1:D1"/>
  </mergeCells>
  <dataValidations count="1">
    <dataValidation type="list" allowBlank="1" showInputMessage="1" showErrorMessage="1" sqref="F2" xr:uid="{D1EB9A05-89FB-44FB-88CC-0AD91B27FE13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nsertRowAboveTableEnd">
                <anchor moveWithCells="1" sizeWithCells="1">
                  <from>
                    <xdr:col>6</xdr:col>
                    <xdr:colOff>447675</xdr:colOff>
                    <xdr:row>0</xdr:row>
                    <xdr:rowOff>180975</xdr:rowOff>
                  </from>
                  <to>
                    <xdr:col>7</xdr:col>
                    <xdr:colOff>962025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4" name="Button 2">
              <controlPr defaultSize="0" print="0" autoFill="0" autoPict="0" macro="[0]!Save_tblSummary_ToDB">
                <anchor moveWithCells="1" sizeWithCells="1">
                  <from>
                    <xdr:col>7</xdr:col>
                    <xdr:colOff>1295400</xdr:colOff>
                    <xdr:row>0</xdr:row>
                    <xdr:rowOff>171450</xdr:rowOff>
                  </from>
                  <to>
                    <xdr:col>8</xdr:col>
                    <xdr:colOff>1524000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FE4324-9BDE-434E-BC21-65A4F8E898FF}">
          <x14:formula1>
            <xm:f>Master_Input!$B$92:$B$93</xm:f>
          </x14:formula1>
          <xm:sqref>L87:L93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B6731-45E9-4543-9580-805F118042F3}">
  <sheetPr codeName="Sheet13">
    <tabColor theme="3"/>
  </sheetPr>
  <dimension ref="A1:AJ112"/>
  <sheetViews>
    <sheetView showGridLines="0" zoomScale="85" zoomScaleNormal="85" workbookViewId="0">
      <pane ySplit="3" topLeftCell="A35" activePane="bottomLeft" state="frozen"/>
      <selection activeCell="D3" sqref="D3"/>
      <selection pane="bottomLeft" activeCell="M10" sqref="M10"/>
    </sheetView>
  </sheetViews>
  <sheetFormatPr defaultColWidth="12.42578125" defaultRowHeight="15" x14ac:dyDescent="0.25"/>
  <cols>
    <col min="1" max="1" width="3.28515625" style="40" customWidth="1"/>
    <col min="2" max="2" width="5.7109375" style="40" customWidth="1"/>
    <col min="3" max="3" width="10.140625" style="40" customWidth="1"/>
    <col min="4" max="4" width="37.28515625" style="40" customWidth="1"/>
    <col min="5" max="5" width="37.140625" style="40" customWidth="1"/>
    <col min="6" max="6" width="43.85546875" style="40" customWidth="1"/>
    <col min="7" max="7" width="38.28515625" style="40" customWidth="1"/>
    <col min="8" max="9" width="30.42578125" style="40" customWidth="1"/>
    <col min="10" max="10" width="30.5703125" style="40" customWidth="1"/>
    <col min="11" max="11" width="35" style="40" customWidth="1"/>
    <col min="12" max="12" width="29.28515625" style="40" customWidth="1"/>
    <col min="13" max="14" width="36" style="40" customWidth="1"/>
    <col min="15" max="15" width="22.85546875" style="40" customWidth="1"/>
    <col min="16" max="16" width="32.7109375" style="40" customWidth="1"/>
    <col min="17" max="17" width="12.42578125" style="40" customWidth="1"/>
    <col min="18" max="19" width="12.42578125" style="40"/>
    <col min="20" max="34" width="12.42578125" style="40" customWidth="1"/>
    <col min="35" max="35" width="41.85546875" style="58" hidden="1" customWidth="1"/>
    <col min="36" max="16384" width="12.42578125" style="40"/>
  </cols>
  <sheetData>
    <row r="1" spans="1:35" s="43" customFormat="1" ht="35.1" customHeight="1" x14ac:dyDescent="0.25">
      <c r="A1" s="289" t="s">
        <v>413</v>
      </c>
      <c r="B1" s="289"/>
      <c r="C1" s="289"/>
      <c r="D1" s="289"/>
      <c r="F1" s="46" t="s">
        <v>99</v>
      </c>
      <c r="G1" s="47"/>
      <c r="I1" s="48"/>
      <c r="J1" s="49"/>
      <c r="K1" s="49"/>
      <c r="L1" s="49"/>
      <c r="M1" s="49"/>
      <c r="N1" s="49"/>
      <c r="AI1" s="50" t="s">
        <v>72</v>
      </c>
    </row>
    <row r="2" spans="1:35" s="43" customFormat="1" ht="23.25" customHeight="1" x14ac:dyDescent="0.25">
      <c r="A2" s="267" t="s">
        <v>0</v>
      </c>
      <c r="B2" s="267"/>
      <c r="C2" s="267"/>
      <c r="D2" s="51" t="str">
        <f>Master_Input!C6</f>
        <v>2023-2024</v>
      </c>
      <c r="F2" s="52" t="s">
        <v>83</v>
      </c>
      <c r="G2" s="53"/>
      <c r="I2" s="48"/>
      <c r="AI2" s="50" t="s">
        <v>72</v>
      </c>
    </row>
    <row r="3" spans="1:35" s="43" customFormat="1" ht="21" customHeight="1" x14ac:dyDescent="0.25">
      <c r="A3" s="266" t="s">
        <v>27</v>
      </c>
      <c r="B3" s="266"/>
      <c r="C3" s="266"/>
      <c r="D3" s="54" t="str">
        <f>Master_Input!C7</f>
        <v>FJD</v>
      </c>
      <c r="AI3" s="55"/>
    </row>
    <row r="4" spans="1:35" s="56" customFormat="1" ht="15.95" customHeight="1" x14ac:dyDescent="0.25">
      <c r="B4" s="57"/>
      <c r="C4" s="57"/>
      <c r="D4" s="57"/>
      <c r="AI4" s="58"/>
    </row>
    <row r="5" spans="1:35" x14ac:dyDescent="0.25">
      <c r="C5" s="59" t="s">
        <v>1</v>
      </c>
      <c r="D5" s="59" t="s">
        <v>2</v>
      </c>
      <c r="E5" s="59"/>
    </row>
    <row r="6" spans="1:35" x14ac:dyDescent="0.25">
      <c r="C6" s="59"/>
      <c r="D6" s="60" t="s">
        <v>3</v>
      </c>
      <c r="E6" s="59"/>
    </row>
    <row r="7" spans="1:35" x14ac:dyDescent="0.25">
      <c r="B7" s="61"/>
      <c r="C7" s="62" t="s">
        <v>4</v>
      </c>
      <c r="D7" s="263" t="s">
        <v>5</v>
      </c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5"/>
    </row>
    <row r="8" spans="1:35" s="63" customFormat="1" ht="18" customHeight="1" x14ac:dyDescent="0.25">
      <c r="C8" s="64" t="s">
        <v>6</v>
      </c>
      <c r="D8" s="64" t="s">
        <v>7</v>
      </c>
      <c r="E8" s="64" t="s">
        <v>8</v>
      </c>
      <c r="F8" s="64" t="s">
        <v>9</v>
      </c>
      <c r="G8" s="64" t="s">
        <v>73</v>
      </c>
      <c r="H8" s="64" t="s">
        <v>74</v>
      </c>
      <c r="I8" s="64" t="s">
        <v>75</v>
      </c>
      <c r="J8" s="64" t="s">
        <v>80</v>
      </c>
      <c r="K8" s="64" t="s">
        <v>76</v>
      </c>
      <c r="L8" s="64" t="s">
        <v>77</v>
      </c>
      <c r="M8" s="65" t="s">
        <v>78</v>
      </c>
      <c r="N8" s="65" t="s">
        <v>79</v>
      </c>
      <c r="O8" s="64" t="s">
        <v>41</v>
      </c>
      <c r="P8" s="64" t="s">
        <v>10</v>
      </c>
      <c r="AI8" s="58" t="s">
        <v>36</v>
      </c>
    </row>
    <row r="9" spans="1:35" s="63" customFormat="1" x14ac:dyDescent="0.25">
      <c r="C9" s="22"/>
      <c r="D9" s="22"/>
      <c r="E9" s="22"/>
      <c r="F9" s="22">
        <v>246522</v>
      </c>
      <c r="G9" s="22"/>
      <c r="H9" s="22"/>
      <c r="I9" s="22"/>
      <c r="J9" s="22"/>
      <c r="K9" s="22"/>
      <c r="L9" s="22"/>
      <c r="M9" s="86">
        <v>0.1</v>
      </c>
      <c r="N9" s="22">
        <f>SUM(F9:L9)*M9</f>
        <v>24652.2</v>
      </c>
      <c r="O9" s="22"/>
      <c r="P9" s="22"/>
      <c r="AI9" s="58"/>
    </row>
    <row r="10" spans="1:35" s="63" customFormat="1" x14ac:dyDescent="0.2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86"/>
      <c r="N10" s="22">
        <f>SUM(F10:L10)*M10</f>
        <v>0</v>
      </c>
      <c r="O10" s="22"/>
      <c r="P10" s="22"/>
      <c r="AI10" s="58"/>
    </row>
    <row r="11" spans="1:35" s="63" customFormat="1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86"/>
      <c r="N11" s="22">
        <f>SUM(F11:L11)*M11</f>
        <v>0</v>
      </c>
      <c r="O11" s="22"/>
      <c r="P11" s="22"/>
      <c r="AI11" s="58"/>
    </row>
    <row r="12" spans="1:35" s="63" customFormat="1" x14ac:dyDescent="0.2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86"/>
      <c r="N12" s="22">
        <f>SUM(F12:L12)*M12</f>
        <v>0</v>
      </c>
      <c r="O12" s="22"/>
      <c r="P12" s="22"/>
      <c r="AI12" s="58"/>
    </row>
    <row r="13" spans="1:35" s="63" customFormat="1" x14ac:dyDescent="0.2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86"/>
      <c r="N13" s="22">
        <f>SUM(F13:L13)*M13</f>
        <v>0</v>
      </c>
      <c r="O13" s="22"/>
      <c r="P13" s="22"/>
      <c r="AI13" s="58"/>
    </row>
    <row r="14" spans="1:35" s="63" customFormat="1" x14ac:dyDescent="0.25"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86"/>
      <c r="N14" s="22">
        <f t="shared" ref="N14:N18" si="0">SUM(F14:L14)*M14</f>
        <v>0</v>
      </c>
      <c r="O14" s="22"/>
      <c r="P14" s="22"/>
      <c r="AI14" s="58"/>
    </row>
    <row r="15" spans="1:35" s="63" customFormat="1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86"/>
      <c r="N15" s="22">
        <f>SUM(F15:L15)*M15</f>
        <v>0</v>
      </c>
      <c r="O15" s="22"/>
      <c r="P15" s="22"/>
      <c r="AI15" s="58"/>
    </row>
    <row r="16" spans="1:35" s="63" customFormat="1" x14ac:dyDescent="0.25"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86"/>
      <c r="N16" s="22">
        <f>SUM(F16:L16)*M16</f>
        <v>0</v>
      </c>
      <c r="O16" s="22"/>
      <c r="P16" s="22"/>
      <c r="AI16" s="58"/>
    </row>
    <row r="17" spans="2:35" s="63" customFormat="1" x14ac:dyDescent="0.25"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86"/>
      <c r="N17" s="22">
        <f>SUM(F17:L17)*M17</f>
        <v>0</v>
      </c>
      <c r="O17" s="22"/>
      <c r="P17" s="22"/>
      <c r="AI17" s="58"/>
    </row>
    <row r="18" spans="2:35" s="63" customFormat="1" x14ac:dyDescent="0.25"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86"/>
      <c r="N18" s="22">
        <f t="shared" si="0"/>
        <v>0</v>
      </c>
      <c r="O18" s="22"/>
      <c r="P18" s="22"/>
      <c r="AI18" s="58"/>
    </row>
    <row r="19" spans="2:35" ht="15.75" thickBot="1" x14ac:dyDescent="0.3">
      <c r="B19" s="61"/>
      <c r="C19" s="17" t="s">
        <v>40</v>
      </c>
      <c r="D19" s="17"/>
      <c r="E19" s="17"/>
      <c r="F19" s="17">
        <f>SUBTOTAL(109,PERSONNEL_REGULAR55[Annual Salary])</f>
        <v>246522</v>
      </c>
      <c r="G19" s="17">
        <f>SUBTOTAL(109,PERSONNEL_REGULAR55[Benefit/Contribution (1)])</f>
        <v>0</v>
      </c>
      <c r="H19" s="17">
        <f>SUBTOTAL(109,PERSONNEL_REGULAR55[Benefit/Contribution (2)])</f>
        <v>0</v>
      </c>
      <c r="I19" s="17">
        <f>SUBTOTAL(109,PERSONNEL_REGULAR55[Benefit/Contribution (3)])</f>
        <v>0</v>
      </c>
      <c r="J19" s="17">
        <f>SUBTOTAL(109,PERSONNEL_REGULAR55[Benefit/Contribution (4)])</f>
        <v>0</v>
      </c>
      <c r="K19" s="17">
        <f>SUBTOTAL(109,PERSONNEL_REGULAR55[Benefit/Contribution (5)])</f>
        <v>0</v>
      </c>
      <c r="L19" s="17">
        <f>SUBTOTAL(109,PERSONNEL_REGULAR55[Other Benefits])</f>
        <v>0</v>
      </c>
      <c r="M19" s="17"/>
      <c r="N19" s="17">
        <f>SUBTOTAL(109,PERSONNEL_REGULAR55[Total Yearly Personnel Expense])</f>
        <v>24652.2</v>
      </c>
      <c r="O19" s="17"/>
      <c r="P19" s="17"/>
    </row>
    <row r="20" spans="2:35" ht="15.75" thickTop="1" x14ac:dyDescent="0.25">
      <c r="B20" s="61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R20" s="63"/>
    </row>
    <row r="21" spans="2:35" x14ac:dyDescent="0.25">
      <c r="B21" s="61"/>
      <c r="C21" s="63"/>
      <c r="D21" s="63"/>
      <c r="E21" s="63"/>
      <c r="F21" s="63"/>
      <c r="G21" s="63"/>
      <c r="I21" s="63"/>
      <c r="J21" s="63"/>
      <c r="K21" s="63"/>
      <c r="L21" s="63"/>
      <c r="M21" s="63"/>
      <c r="N21" s="63"/>
      <c r="O21" s="63"/>
      <c r="P21" s="63"/>
    </row>
    <row r="22" spans="2:35" s="63" customFormat="1" ht="18.75" customHeight="1" x14ac:dyDescent="0.25">
      <c r="AI22" s="58"/>
    </row>
    <row r="23" spans="2:35" s="63" customFormat="1" x14ac:dyDescent="0.25">
      <c r="C23" s="62" t="s">
        <v>11</v>
      </c>
      <c r="D23" s="263" t="s">
        <v>46</v>
      </c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5"/>
      <c r="AI23" s="58"/>
    </row>
    <row r="24" spans="2:35" s="63" customFormat="1" ht="14.25" customHeight="1" x14ac:dyDescent="0.25">
      <c r="C24" s="64" t="s">
        <v>6</v>
      </c>
      <c r="D24" s="64" t="s">
        <v>7</v>
      </c>
      <c r="E24" s="64" t="s">
        <v>8</v>
      </c>
      <c r="F24" s="64" t="s">
        <v>9</v>
      </c>
      <c r="G24" s="64" t="s">
        <v>73</v>
      </c>
      <c r="H24" s="64" t="s">
        <v>74</v>
      </c>
      <c r="I24" s="64" t="s">
        <v>75</v>
      </c>
      <c r="J24" s="64" t="s">
        <v>80</v>
      </c>
      <c r="K24" s="64" t="s">
        <v>76</v>
      </c>
      <c r="L24" s="64" t="s">
        <v>77</v>
      </c>
      <c r="M24" s="65" t="s">
        <v>78</v>
      </c>
      <c r="N24" s="65" t="s">
        <v>79</v>
      </c>
      <c r="O24" s="64" t="s">
        <v>41</v>
      </c>
      <c r="P24" s="64" t="s">
        <v>10</v>
      </c>
      <c r="AI24" s="58" t="s">
        <v>36</v>
      </c>
    </row>
    <row r="25" spans="2:35" s="63" customFormat="1" x14ac:dyDescent="0.25"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86"/>
      <c r="N25" s="22">
        <f t="shared" ref="N25:N30" si="1">SUM(F25:L25)*M25</f>
        <v>0</v>
      </c>
      <c r="O25" s="22"/>
      <c r="P25" s="22"/>
      <c r="AI25" s="58"/>
    </row>
    <row r="26" spans="2:35" s="63" customFormat="1" x14ac:dyDescent="0.25"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86"/>
      <c r="N26" s="22">
        <f t="shared" si="1"/>
        <v>0</v>
      </c>
      <c r="O26" s="22"/>
      <c r="P26" s="22"/>
      <c r="AI26" s="58"/>
    </row>
    <row r="27" spans="2:35" s="63" customFormat="1" x14ac:dyDescent="0.25"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86"/>
      <c r="N27" s="22">
        <f t="shared" si="1"/>
        <v>0</v>
      </c>
      <c r="O27" s="22"/>
      <c r="P27" s="22"/>
      <c r="AI27" s="58"/>
    </row>
    <row r="28" spans="2:35" s="63" customFormat="1" x14ac:dyDescent="0.25"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86"/>
      <c r="N28" s="22">
        <f>SUM(F28:L28)*M28</f>
        <v>0</v>
      </c>
      <c r="O28" s="22"/>
      <c r="P28" s="22"/>
      <c r="AI28" s="58"/>
    </row>
    <row r="29" spans="2:35" s="63" customFormat="1" x14ac:dyDescent="0.25"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86"/>
      <c r="N29" s="22">
        <f t="shared" si="1"/>
        <v>0</v>
      </c>
      <c r="O29" s="22"/>
      <c r="P29" s="22"/>
      <c r="AI29" s="58"/>
    </row>
    <row r="30" spans="2:35" s="63" customFormat="1" x14ac:dyDescent="0.25">
      <c r="B30" s="4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86"/>
      <c r="N30" s="22">
        <f t="shared" si="1"/>
        <v>0</v>
      </c>
      <c r="O30" s="22"/>
      <c r="P30" s="22"/>
      <c r="AI30" s="58"/>
    </row>
    <row r="31" spans="2:35" s="63" customFormat="1" ht="15.75" thickBot="1" x14ac:dyDescent="0.3">
      <c r="B31" s="40"/>
      <c r="C31" s="17" t="s">
        <v>40</v>
      </c>
      <c r="D31" s="17"/>
      <c r="E31" s="17"/>
      <c r="F31" s="17">
        <f>SUBTOTAL(109,PERSONNEL_CONTRACTUAL56[Annual Salary])</f>
        <v>0</v>
      </c>
      <c r="G31" s="17">
        <f>SUBTOTAL(109,PERSONNEL_CONTRACTUAL56[Benefit/Contribution (1)])</f>
        <v>0</v>
      </c>
      <c r="H31" s="17">
        <f>SUBTOTAL(109,PERSONNEL_CONTRACTUAL56[Benefit/Contribution (2)])</f>
        <v>0</v>
      </c>
      <c r="I31" s="17">
        <f>SUBTOTAL(109,PERSONNEL_CONTRACTUAL56[Benefit/Contribution (3)])</f>
        <v>0</v>
      </c>
      <c r="J31" s="17">
        <f>SUBTOTAL(109,PERSONNEL_CONTRACTUAL56[Benefit/Contribution (4)])</f>
        <v>0</v>
      </c>
      <c r="K31" s="17">
        <f>SUBTOTAL(109,PERSONNEL_CONTRACTUAL56[Benefit/Contribution (5)])</f>
        <v>0</v>
      </c>
      <c r="L31" s="17">
        <f>SUBTOTAL(109,PERSONNEL_CONTRACTUAL56[Other Benefits])</f>
        <v>0</v>
      </c>
      <c r="M31" s="17"/>
      <c r="N31" s="17">
        <f>SUBTOTAL(109,PERSONNEL_CONTRACTUAL56[Total Yearly Personnel Expense])</f>
        <v>0</v>
      </c>
      <c r="O31" s="17"/>
      <c r="P31" s="17"/>
      <c r="AI31" s="58"/>
    </row>
    <row r="32" spans="2:35" s="63" customFormat="1" ht="15.75" thickTop="1" x14ac:dyDescent="0.25">
      <c r="B32" s="40"/>
      <c r="AI32" s="58"/>
    </row>
    <row r="33" spans="2:35" s="63" customFormat="1" x14ac:dyDescent="0.25">
      <c r="B33" s="40"/>
      <c r="AI33" s="58"/>
    </row>
    <row r="34" spans="2:35" s="63" customFormat="1" x14ac:dyDescent="0.25">
      <c r="AI34" s="58"/>
    </row>
    <row r="35" spans="2:35" s="63" customFormat="1" x14ac:dyDescent="0.25">
      <c r="G35" s="40"/>
      <c r="AI35" s="58"/>
    </row>
    <row r="36" spans="2:35" s="63" customFormat="1" x14ac:dyDescent="0.25">
      <c r="C36" s="59" t="s">
        <v>1</v>
      </c>
      <c r="D36" s="59" t="s">
        <v>2</v>
      </c>
      <c r="E36" s="59"/>
      <c r="AI36" s="58"/>
    </row>
    <row r="37" spans="2:35" s="63" customFormat="1" x14ac:dyDescent="0.25">
      <c r="C37" s="59"/>
      <c r="D37" s="60" t="s">
        <v>50</v>
      </c>
      <c r="E37" s="59"/>
      <c r="AI37" s="58"/>
    </row>
    <row r="38" spans="2:35" s="63" customFormat="1" x14ac:dyDescent="0.25">
      <c r="C38" s="66" t="s">
        <v>6</v>
      </c>
      <c r="D38" s="23" t="s">
        <v>12</v>
      </c>
      <c r="E38" s="23" t="s">
        <v>13</v>
      </c>
      <c r="F38" s="67" t="s">
        <v>10</v>
      </c>
      <c r="AI38" s="58" t="s">
        <v>36</v>
      </c>
    </row>
    <row r="39" spans="2:35" s="63" customFormat="1" x14ac:dyDescent="0.25">
      <c r="C39" s="22"/>
      <c r="D39" s="68" t="s">
        <v>52</v>
      </c>
      <c r="E39" s="22"/>
      <c r="F39" s="22"/>
      <c r="AI39" s="58"/>
    </row>
    <row r="40" spans="2:35" s="63" customFormat="1" x14ac:dyDescent="0.25">
      <c r="C40" s="22"/>
      <c r="D40" s="68" t="s">
        <v>53</v>
      </c>
      <c r="E40" s="22"/>
      <c r="F40" s="22"/>
      <c r="AI40" s="58"/>
    </row>
    <row r="41" spans="2:35" s="63" customFormat="1" x14ac:dyDescent="0.25">
      <c r="C41" s="22"/>
      <c r="D41" s="68" t="s">
        <v>54</v>
      </c>
      <c r="E41" s="22"/>
      <c r="F41" s="22"/>
      <c r="AI41" s="58"/>
    </row>
    <row r="42" spans="2:35" s="63" customFormat="1" x14ac:dyDescent="0.25">
      <c r="C42" s="22"/>
      <c r="D42" s="68" t="s">
        <v>55</v>
      </c>
      <c r="E42" s="22"/>
      <c r="F42" s="22"/>
      <c r="AI42" s="58"/>
    </row>
    <row r="43" spans="2:35" s="63" customFormat="1" x14ac:dyDescent="0.25">
      <c r="C43" s="22"/>
      <c r="D43" s="68" t="s">
        <v>56</v>
      </c>
      <c r="E43" s="22"/>
      <c r="F43" s="22"/>
      <c r="AI43" s="58"/>
    </row>
    <row r="44" spans="2:35" s="63" customFormat="1" x14ac:dyDescent="0.25">
      <c r="C44" s="22"/>
      <c r="D44" s="40" t="s">
        <v>57</v>
      </c>
      <c r="E44" s="22"/>
      <c r="F44" s="22"/>
      <c r="AI44" s="58"/>
    </row>
    <row r="45" spans="2:35" s="63" customFormat="1" x14ac:dyDescent="0.25">
      <c r="C45" s="22"/>
      <c r="D45" s="40" t="s">
        <v>58</v>
      </c>
      <c r="E45" s="22"/>
      <c r="F45" s="22"/>
      <c r="AI45" s="58"/>
    </row>
    <row r="46" spans="2:35" s="63" customFormat="1" x14ac:dyDescent="0.25">
      <c r="C46" s="22"/>
      <c r="D46" s="40" t="s">
        <v>59</v>
      </c>
      <c r="E46" s="22"/>
      <c r="F46" s="22"/>
      <c r="AI46" s="58"/>
    </row>
    <row r="47" spans="2:35" s="63" customFormat="1" x14ac:dyDescent="0.25">
      <c r="C47" s="22"/>
      <c r="D47" s="40" t="s">
        <v>60</v>
      </c>
      <c r="E47" s="22"/>
      <c r="F47" s="22"/>
      <c r="AI47" s="58"/>
    </row>
    <row r="48" spans="2:35" s="63" customFormat="1" x14ac:dyDescent="0.25">
      <c r="C48" s="22"/>
      <c r="D48" s="40" t="s">
        <v>61</v>
      </c>
      <c r="E48" s="22"/>
      <c r="F48" s="22"/>
      <c r="AI48" s="58"/>
    </row>
    <row r="49" spans="2:35" s="63" customFormat="1" x14ac:dyDescent="0.25">
      <c r="C49" s="22"/>
      <c r="D49" s="40" t="s">
        <v>62</v>
      </c>
      <c r="E49" s="22"/>
      <c r="F49" s="22"/>
      <c r="AI49" s="58"/>
    </row>
    <row r="50" spans="2:35" s="63" customFormat="1" x14ac:dyDescent="0.25">
      <c r="C50" s="22"/>
      <c r="D50" s="40" t="s">
        <v>63</v>
      </c>
      <c r="E50" s="22"/>
      <c r="F50" s="22"/>
      <c r="AI50" s="58"/>
    </row>
    <row r="51" spans="2:35" s="63" customFormat="1" x14ac:dyDescent="0.25">
      <c r="C51" s="22"/>
      <c r="D51" s="40" t="s">
        <v>64</v>
      </c>
      <c r="E51" s="22"/>
      <c r="F51" s="22"/>
      <c r="AI51" s="58"/>
    </row>
    <row r="52" spans="2:35" s="63" customFormat="1" x14ac:dyDescent="0.25">
      <c r="C52" s="22"/>
      <c r="D52" s="68" t="s">
        <v>66</v>
      </c>
      <c r="E52" s="22"/>
      <c r="F52" s="22"/>
      <c r="AI52" s="58"/>
    </row>
    <row r="53" spans="2:35" s="63" customFormat="1" x14ac:dyDescent="0.25">
      <c r="C53" s="22"/>
      <c r="D53" s="68" t="s">
        <v>67</v>
      </c>
      <c r="E53" s="22"/>
      <c r="F53" s="22"/>
      <c r="AI53" s="58"/>
    </row>
    <row r="54" spans="2:35" s="63" customFormat="1" x14ac:dyDescent="0.25">
      <c r="C54" s="22"/>
      <c r="D54" s="68" t="s">
        <v>68</v>
      </c>
      <c r="E54" s="22"/>
      <c r="F54" s="22"/>
      <c r="AI54" s="58"/>
    </row>
    <row r="55" spans="2:35" s="63" customFormat="1" x14ac:dyDescent="0.25">
      <c r="C55" s="22"/>
      <c r="D55" s="68" t="s">
        <v>69</v>
      </c>
      <c r="E55" s="22"/>
      <c r="F55" s="22"/>
      <c r="AI55" s="58"/>
    </row>
    <row r="56" spans="2:35" s="63" customFormat="1" x14ac:dyDescent="0.25">
      <c r="C56" s="22"/>
      <c r="D56" s="68" t="s">
        <v>70</v>
      </c>
      <c r="E56" s="22"/>
      <c r="F56" s="22"/>
      <c r="AI56" s="58"/>
    </row>
    <row r="57" spans="2:35" s="63" customFormat="1" x14ac:dyDescent="0.25">
      <c r="C57" s="22"/>
      <c r="D57" s="68" t="s">
        <v>65</v>
      </c>
      <c r="E57" s="22"/>
      <c r="F57" s="22"/>
      <c r="AI57" s="58"/>
    </row>
    <row r="58" spans="2:35" s="63" customFormat="1" x14ac:dyDescent="0.25">
      <c r="C58" s="22"/>
      <c r="D58" s="68" t="s">
        <v>65</v>
      </c>
      <c r="E58" s="22"/>
      <c r="F58" s="22"/>
      <c r="AI58" s="58"/>
    </row>
    <row r="59" spans="2:35" s="63" customFormat="1" x14ac:dyDescent="0.25">
      <c r="C59" s="22"/>
      <c r="D59" s="68" t="s">
        <v>65</v>
      </c>
      <c r="E59" s="22"/>
      <c r="F59" s="22"/>
      <c r="AI59" s="58"/>
    </row>
    <row r="60" spans="2:35" s="63" customFormat="1" x14ac:dyDescent="0.25">
      <c r="C60" s="22"/>
      <c r="D60" s="68" t="s">
        <v>65</v>
      </c>
      <c r="E60" s="22"/>
      <c r="F60" s="22"/>
      <c r="AI60" s="58"/>
    </row>
    <row r="61" spans="2:35" s="63" customFormat="1" x14ac:dyDescent="0.25">
      <c r="C61" s="22"/>
      <c r="D61" s="68" t="s">
        <v>65</v>
      </c>
      <c r="E61" s="22"/>
      <c r="F61" s="22"/>
      <c r="AI61" s="58"/>
    </row>
    <row r="62" spans="2:35" s="63" customFormat="1" x14ac:dyDescent="0.25">
      <c r="C62" s="22"/>
      <c r="D62" s="68" t="s">
        <v>65</v>
      </c>
      <c r="E62" s="22"/>
      <c r="F62" s="22"/>
      <c r="AI62" s="58"/>
    </row>
    <row r="63" spans="2:35" s="63" customFormat="1" x14ac:dyDescent="0.25">
      <c r="B63" s="40"/>
      <c r="C63" s="22"/>
      <c r="D63" s="68" t="s">
        <v>65</v>
      </c>
      <c r="E63" s="22"/>
      <c r="F63" s="22"/>
      <c r="AI63" s="58"/>
    </row>
    <row r="64" spans="2:35" s="63" customFormat="1" x14ac:dyDescent="0.25">
      <c r="B64" s="40"/>
      <c r="C64" s="22"/>
      <c r="D64" s="68" t="s">
        <v>65</v>
      </c>
      <c r="E64" s="22"/>
      <c r="F64" s="22"/>
      <c r="AI64" s="58"/>
    </row>
    <row r="65" spans="2:35" s="63" customFormat="1" x14ac:dyDescent="0.25">
      <c r="B65" s="40"/>
      <c r="C65" s="22"/>
      <c r="D65" s="68" t="s">
        <v>65</v>
      </c>
      <c r="E65" s="22"/>
      <c r="F65" s="22"/>
      <c r="AI65" s="58"/>
    </row>
    <row r="66" spans="2:35" s="63" customFormat="1" ht="15.75" thickBot="1" x14ac:dyDescent="0.3">
      <c r="B66" s="40"/>
      <c r="C66" s="17" t="s">
        <v>40</v>
      </c>
      <c r="D66" s="17"/>
      <c r="E66" s="17">
        <f>SUBTOTAL(109,OPEX_COSTS52[Total Annual Cost])</f>
        <v>0</v>
      </c>
      <c r="F66" s="17"/>
      <c r="AI66" s="58"/>
    </row>
    <row r="67" spans="2:35" s="63" customFormat="1" ht="15.75" thickTop="1" x14ac:dyDescent="0.25">
      <c r="B67" s="40"/>
      <c r="AI67" s="58"/>
    </row>
    <row r="68" spans="2:35" s="63" customFormat="1" x14ac:dyDescent="0.25">
      <c r="AI68" s="58"/>
    </row>
    <row r="69" spans="2:35" s="63" customFormat="1" x14ac:dyDescent="0.25">
      <c r="AI69" s="58"/>
    </row>
    <row r="70" spans="2:35" s="63" customFormat="1" x14ac:dyDescent="0.25">
      <c r="C70" s="59" t="s">
        <v>1</v>
      </c>
      <c r="D70" s="59" t="s">
        <v>2</v>
      </c>
      <c r="E70" s="59"/>
      <c r="AI70" s="58"/>
    </row>
    <row r="71" spans="2:35" s="63" customFormat="1" x14ac:dyDescent="0.25">
      <c r="C71" s="59"/>
      <c r="D71" s="60" t="s">
        <v>81</v>
      </c>
      <c r="E71" s="59"/>
      <c r="AI71" s="58"/>
    </row>
    <row r="72" spans="2:35" s="63" customFormat="1" x14ac:dyDescent="0.25">
      <c r="C72" s="66" t="s">
        <v>28</v>
      </c>
      <c r="D72" s="23" t="s">
        <v>12</v>
      </c>
      <c r="E72" s="23" t="s">
        <v>14</v>
      </c>
      <c r="F72" s="23" t="s">
        <v>15</v>
      </c>
      <c r="G72" s="23" t="s">
        <v>13</v>
      </c>
      <c r="H72" s="67" t="s">
        <v>10</v>
      </c>
      <c r="AI72" s="58" t="s">
        <v>36</v>
      </c>
    </row>
    <row r="73" spans="2:35" s="63" customFormat="1" x14ac:dyDescent="0.25">
      <c r="C73" s="22"/>
      <c r="D73" s="22"/>
      <c r="E73" s="22"/>
      <c r="F73" s="22"/>
      <c r="G73" s="22">
        <f>OTHER_COST53[[#This Row],[Cost per Unit]]*OTHER_COST53[[#This Row],[Units]]</f>
        <v>0</v>
      </c>
      <c r="H73" s="22"/>
      <c r="AI73" s="58"/>
    </row>
    <row r="74" spans="2:35" s="63" customFormat="1" x14ac:dyDescent="0.25">
      <c r="C74" s="22"/>
      <c r="D74" s="22"/>
      <c r="E74" s="22"/>
      <c r="F74" s="22"/>
      <c r="G74" s="22">
        <f>OTHER_COST53[[#This Row],[Cost per Unit]]*OTHER_COST53[[#This Row],[Units]]</f>
        <v>0</v>
      </c>
      <c r="H74" s="22"/>
      <c r="AI74" s="58"/>
    </row>
    <row r="75" spans="2:35" s="63" customFormat="1" x14ac:dyDescent="0.25">
      <c r="C75" s="22"/>
      <c r="D75" s="22"/>
      <c r="E75" s="22"/>
      <c r="F75" s="22"/>
      <c r="G75" s="22">
        <f>OTHER_COST53[[#This Row],[Cost per Unit]]*OTHER_COST53[[#This Row],[Units]]</f>
        <v>0</v>
      </c>
      <c r="H75" s="22"/>
      <c r="AI75" s="58"/>
    </row>
    <row r="76" spans="2:35" s="63" customFormat="1" x14ac:dyDescent="0.25">
      <c r="C76" s="22"/>
      <c r="D76" s="22"/>
      <c r="E76" s="22"/>
      <c r="F76" s="22"/>
      <c r="G76" s="22">
        <f>OTHER_COST53[[#This Row],[Cost per Unit]]*OTHER_COST53[[#This Row],[Units]]</f>
        <v>0</v>
      </c>
      <c r="H76" s="22"/>
      <c r="AI76" s="58"/>
    </row>
    <row r="77" spans="2:35" s="63" customFormat="1" x14ac:dyDescent="0.25">
      <c r="B77" s="40"/>
      <c r="C77" s="22"/>
      <c r="D77" s="22"/>
      <c r="E77" s="22"/>
      <c r="F77" s="22"/>
      <c r="G77" s="22">
        <f>OTHER_COST53[[#This Row],[Cost per Unit]]*OTHER_COST53[[#This Row],[Units]]</f>
        <v>0</v>
      </c>
      <c r="H77" s="22"/>
      <c r="AI77" s="58"/>
    </row>
    <row r="78" spans="2:35" s="63" customFormat="1" x14ac:dyDescent="0.25">
      <c r="B78" s="40"/>
      <c r="C78" s="22"/>
      <c r="D78" s="22"/>
      <c r="E78" s="22"/>
      <c r="F78" s="22"/>
      <c r="G78" s="22">
        <f>OTHER_COST53[[#This Row],[Cost per Unit]]*OTHER_COST53[[#This Row],[Units]]</f>
        <v>0</v>
      </c>
      <c r="H78" s="22"/>
      <c r="AI78" s="58"/>
    </row>
    <row r="79" spans="2:35" s="63" customFormat="1" x14ac:dyDescent="0.25">
      <c r="B79" s="40"/>
      <c r="C79" s="22"/>
      <c r="D79" s="22"/>
      <c r="E79" s="22"/>
      <c r="F79" s="22"/>
      <c r="G79" s="22">
        <f t="shared" ref="G79" si="2">E79*F79</f>
        <v>0</v>
      </c>
      <c r="H79" s="22"/>
      <c r="AI79" s="58"/>
    </row>
    <row r="80" spans="2:35" s="63" customFormat="1" ht="15.75" thickBot="1" x14ac:dyDescent="0.3">
      <c r="B80" s="40"/>
      <c r="C80" s="69" t="s">
        <v>40</v>
      </c>
      <c r="D80" s="69"/>
      <c r="E80" s="69"/>
      <c r="F80" s="69"/>
      <c r="G80" s="69">
        <f>SUBTOTAL(109,OTHER_COST53[Total Annual Cost])</f>
        <v>0</v>
      </c>
      <c r="H80" s="69"/>
      <c r="AI80" s="58"/>
    </row>
    <row r="81" spans="2:36" s="63" customFormat="1" ht="15.75" thickTop="1" x14ac:dyDescent="0.25">
      <c r="B81" s="40"/>
      <c r="AI81" s="58"/>
    </row>
    <row r="82" spans="2:36" s="63" customFormat="1" x14ac:dyDescent="0.25">
      <c r="B82" s="40"/>
      <c r="AI82" s="58"/>
    </row>
    <row r="83" spans="2:36" s="63" customFormat="1" x14ac:dyDescent="0.25">
      <c r="AI83" s="58"/>
    </row>
    <row r="84" spans="2:36" s="63" customFormat="1" x14ac:dyDescent="0.25">
      <c r="C84" s="59" t="s">
        <v>1</v>
      </c>
      <c r="D84" s="59" t="s">
        <v>2</v>
      </c>
      <c r="E84" s="59"/>
      <c r="AI84" s="58"/>
    </row>
    <row r="85" spans="2:36" s="63" customFormat="1" x14ac:dyDescent="0.25">
      <c r="C85" s="59"/>
      <c r="D85" s="60" t="s">
        <v>16</v>
      </c>
      <c r="E85" s="59"/>
      <c r="AI85" s="58"/>
    </row>
    <row r="86" spans="2:36" s="70" customFormat="1" ht="33" customHeight="1" x14ac:dyDescent="0.25">
      <c r="C86" s="71" t="s">
        <v>17</v>
      </c>
      <c r="D86" s="24" t="s">
        <v>12</v>
      </c>
      <c r="E86" s="24" t="s">
        <v>18</v>
      </c>
      <c r="F86" s="24" t="s">
        <v>19</v>
      </c>
      <c r="G86" s="24" t="s">
        <v>20</v>
      </c>
      <c r="H86" s="24" t="s">
        <v>21</v>
      </c>
      <c r="I86" s="24" t="s">
        <v>22</v>
      </c>
      <c r="J86" s="24" t="s">
        <v>23</v>
      </c>
      <c r="K86" s="24" t="s">
        <v>24</v>
      </c>
      <c r="L86" s="24" t="s">
        <v>364</v>
      </c>
      <c r="M86" s="24" t="s">
        <v>25</v>
      </c>
      <c r="N86" s="72" t="s">
        <v>10</v>
      </c>
      <c r="AJ86" s="73" t="s">
        <v>36</v>
      </c>
    </row>
    <row r="87" spans="2:36" s="63" customFormat="1" x14ac:dyDescent="0.25">
      <c r="C87" s="22"/>
      <c r="D87" s="22"/>
      <c r="E87" s="248"/>
      <c r="F87" s="22"/>
      <c r="G87" s="22"/>
      <c r="H87" s="22">
        <f>DEPRECIATION54[[#This Row],[Initial Cost If Purchased or Value of Granted Asset]]-DEPRECIATION54[[#This Row],[Salvage Value]]</f>
        <v>0</v>
      </c>
      <c r="I87" s="248"/>
      <c r="J87" s="22"/>
      <c r="K87" s="22">
        <f>IFERROR(DEPRECIATION54[[#This Row],[Depreciable Cost]]/DEPRECIATION54[[#This Row],[Useful Life]], 0)</f>
        <v>0</v>
      </c>
      <c r="L87" s="22" t="s">
        <v>28</v>
      </c>
      <c r="M87" s="22">
        <f>IF(DEPRECIATION54[[#This Row],[Exceeded useful life]]="YES",0,IFERROR(DEPRECIATION54[[#This Row],[Number of Assets]]*DEPRECIATION54[[#This Row],[Annual Depreciation]],0))</f>
        <v>0</v>
      </c>
      <c r="N87" s="22"/>
      <c r="AJ87" s="58"/>
    </row>
    <row r="88" spans="2:36" s="63" customFormat="1" x14ac:dyDescent="0.25">
      <c r="C88" s="22"/>
      <c r="D88" s="22"/>
      <c r="E88" s="248"/>
      <c r="F88" s="22"/>
      <c r="G88" s="22"/>
      <c r="H88" s="22">
        <f>DEPRECIATION54[[#This Row],[Initial Cost If Purchased or Value of Granted Asset]]-DEPRECIATION54[[#This Row],[Salvage Value]]</f>
        <v>0</v>
      </c>
      <c r="I88" s="248"/>
      <c r="J88" s="22"/>
      <c r="K88" s="22">
        <f>IFERROR(DEPRECIATION54[[#This Row],[Depreciable Cost]]/DEPRECIATION54[[#This Row],[Useful Life]], 0)</f>
        <v>0</v>
      </c>
      <c r="L88" s="22" t="s">
        <v>28</v>
      </c>
      <c r="M88" s="22">
        <f>IF(DEPRECIATION54[[#This Row],[Exceeded useful life]]="YES",0,IFERROR(DEPRECIATION54[[#This Row],[Number of Assets]]*DEPRECIATION54[[#This Row],[Annual Depreciation]],0))</f>
        <v>0</v>
      </c>
      <c r="N88" s="22"/>
      <c r="AJ88" s="58"/>
    </row>
    <row r="89" spans="2:36" s="63" customFormat="1" x14ac:dyDescent="0.25">
      <c r="B89" s="40"/>
      <c r="C89" s="22"/>
      <c r="D89" s="22"/>
      <c r="E89" s="248"/>
      <c r="F89" s="22"/>
      <c r="G89" s="22"/>
      <c r="H89" s="22">
        <f>DEPRECIATION54[[#This Row],[Initial Cost If Purchased or Value of Granted Asset]]-DEPRECIATION54[[#This Row],[Salvage Value]]</f>
        <v>0</v>
      </c>
      <c r="I89" s="248"/>
      <c r="J89" s="22"/>
      <c r="K89" s="22">
        <f>IFERROR(DEPRECIATION54[[#This Row],[Depreciable Cost]]/DEPRECIATION54[[#This Row],[Useful Life]], 0)</f>
        <v>0</v>
      </c>
      <c r="L89" s="22" t="s">
        <v>28</v>
      </c>
      <c r="M89" s="22">
        <f>IF(DEPRECIATION54[[#This Row],[Exceeded useful life]]="YES",0,IFERROR(DEPRECIATION54[[#This Row],[Number of Assets]]*DEPRECIATION54[[#This Row],[Annual Depreciation]],0))</f>
        <v>0</v>
      </c>
      <c r="N89" s="22"/>
      <c r="AJ89" s="58"/>
    </row>
    <row r="90" spans="2:36" s="63" customFormat="1" x14ac:dyDescent="0.25">
      <c r="B90" s="40"/>
      <c r="C90" s="22"/>
      <c r="D90" s="22"/>
      <c r="E90" s="248"/>
      <c r="F90" s="22"/>
      <c r="G90" s="22"/>
      <c r="H90" s="22">
        <f>DEPRECIATION54[[#This Row],[Initial Cost If Purchased or Value of Granted Asset]]-DEPRECIATION54[[#This Row],[Salvage Value]]</f>
        <v>0</v>
      </c>
      <c r="I90" s="248"/>
      <c r="J90" s="22"/>
      <c r="K90" s="22">
        <f>IFERROR(DEPRECIATION54[[#This Row],[Depreciable Cost]]/DEPRECIATION54[[#This Row],[Useful Life]], 0)</f>
        <v>0</v>
      </c>
      <c r="L90" s="22" t="s">
        <v>28</v>
      </c>
      <c r="M90" s="22">
        <f>IF(DEPRECIATION54[[#This Row],[Exceeded useful life]]="YES",0,IFERROR(DEPRECIATION54[[#This Row],[Number of Assets]]*DEPRECIATION54[[#This Row],[Annual Depreciation]],0))</f>
        <v>0</v>
      </c>
      <c r="N90" s="22"/>
      <c r="AJ90" s="58"/>
    </row>
    <row r="91" spans="2:36" s="63" customFormat="1" x14ac:dyDescent="0.25">
      <c r="B91" s="40"/>
      <c r="C91" s="22"/>
      <c r="D91" s="22"/>
      <c r="E91" s="248"/>
      <c r="F91" s="22"/>
      <c r="G91" s="22"/>
      <c r="H91" s="22">
        <f>DEPRECIATION54[[#This Row],[Initial Cost If Purchased or Value of Granted Asset]]-DEPRECIATION54[[#This Row],[Salvage Value]]</f>
        <v>0</v>
      </c>
      <c r="I91" s="248"/>
      <c r="J91" s="22"/>
      <c r="K91" s="22">
        <f>IFERROR(DEPRECIATION54[[#This Row],[Depreciable Cost]]/DEPRECIATION54[[#This Row],[Useful Life]], 0)</f>
        <v>0</v>
      </c>
      <c r="L91" s="22" t="s">
        <v>28</v>
      </c>
      <c r="M91" s="22">
        <f>IF(DEPRECIATION54[[#This Row],[Exceeded useful life]]="YES",0,IFERROR(DEPRECIATION54[[#This Row],[Number of Assets]]*DEPRECIATION54[[#This Row],[Annual Depreciation]],0))</f>
        <v>0</v>
      </c>
      <c r="N91" s="22"/>
      <c r="AJ91" s="58"/>
    </row>
    <row r="92" spans="2:36" s="63" customFormat="1" x14ac:dyDescent="0.25">
      <c r="B92" s="40"/>
      <c r="C92" s="22"/>
      <c r="D92" s="22"/>
      <c r="E92" s="248"/>
      <c r="F92" s="22"/>
      <c r="G92" s="22"/>
      <c r="H92" s="22">
        <f>DEPRECIATION54[[#This Row],[Initial Cost If Purchased or Value of Granted Asset]]-DEPRECIATION54[[#This Row],[Salvage Value]]</f>
        <v>0</v>
      </c>
      <c r="I92" s="248"/>
      <c r="J92" s="22"/>
      <c r="K92" s="22">
        <f>IFERROR(DEPRECIATION54[[#This Row],[Depreciable Cost]]/DEPRECIATION54[[#This Row],[Useful Life]], 0)</f>
        <v>0</v>
      </c>
      <c r="L92" s="22" t="s">
        <v>28</v>
      </c>
      <c r="M92" s="22">
        <f>IF(DEPRECIATION54[[#This Row],[Exceeded useful life]]="YES",0,IFERROR(DEPRECIATION54[[#This Row],[Number of Assets]]*DEPRECIATION54[[#This Row],[Annual Depreciation]],0))</f>
        <v>0</v>
      </c>
      <c r="N92" s="22"/>
      <c r="AJ92" s="58"/>
    </row>
    <row r="93" spans="2:36" s="63" customFormat="1" x14ac:dyDescent="0.25">
      <c r="B93" s="40"/>
      <c r="C93" s="22"/>
      <c r="D93" s="22"/>
      <c r="E93" s="248"/>
      <c r="F93" s="22"/>
      <c r="G93" s="22"/>
      <c r="H93" s="22">
        <f>DEPRECIATION54[[#This Row],[Initial Cost If Purchased or Value of Granted Asset]]-DEPRECIATION54[[#This Row],[Salvage Value]]</f>
        <v>0</v>
      </c>
      <c r="I93" s="248"/>
      <c r="J93" s="22"/>
      <c r="K93" s="22">
        <f>IFERROR(DEPRECIATION54[[#This Row],[Depreciable Cost]]/DEPRECIATION54[[#This Row],[Useful Life]], 0)</f>
        <v>0</v>
      </c>
      <c r="L93" s="22" t="s">
        <v>28</v>
      </c>
      <c r="M93" s="22">
        <f>IF(DEPRECIATION54[[#This Row],[Exceeded useful life]]="YES",0,IFERROR(DEPRECIATION54[[#This Row],[Number of Assets]]*DEPRECIATION54[[#This Row],[Annual Depreciation]],0))</f>
        <v>0</v>
      </c>
      <c r="N93" s="22"/>
      <c r="AJ93" s="58"/>
    </row>
    <row r="94" spans="2:36" s="63" customFormat="1" ht="15.75" thickBot="1" x14ac:dyDescent="0.3">
      <c r="B94" s="40"/>
      <c r="C94" s="17" t="s">
        <v>40</v>
      </c>
      <c r="D94" s="17"/>
      <c r="E94" s="17"/>
      <c r="F94" s="17"/>
      <c r="G94" s="17"/>
      <c r="H94" s="17">
        <f>SUBTOTAL(109,DEPRECIATION54[Depreciable Cost])</f>
        <v>0</v>
      </c>
      <c r="I94" s="17"/>
      <c r="J94" s="17"/>
      <c r="K94" s="17"/>
      <c r="L94" s="17"/>
      <c r="M94" s="17">
        <f>SUBTOTAL(109,DEPRECIATION54[Total Depreciation])</f>
        <v>0</v>
      </c>
      <c r="N94" s="17"/>
      <c r="AJ94" s="58"/>
    </row>
    <row r="95" spans="2:36" s="63" customFormat="1" ht="15.75" thickTop="1" x14ac:dyDescent="0.25">
      <c r="AI95" s="58"/>
    </row>
    <row r="96" spans="2:36" s="63" customFormat="1" x14ac:dyDescent="0.25">
      <c r="AI96" s="58"/>
    </row>
    <row r="97" spans="4:35" s="63" customFormat="1" x14ac:dyDescent="0.25">
      <c r="J97" s="40"/>
      <c r="AI97" s="58"/>
    </row>
    <row r="101" spans="4:35" ht="18.75" x14ac:dyDescent="0.25">
      <c r="D101" s="74" t="s">
        <v>144</v>
      </c>
      <c r="E101" s="75" t="str">
        <f>A1</f>
        <v>Administration</v>
      </c>
    </row>
    <row r="102" spans="4:35" ht="20.25" customHeight="1" x14ac:dyDescent="0.25">
      <c r="D102" s="76" t="s">
        <v>49</v>
      </c>
      <c r="E102" s="42">
        <f>tblSummaryCash57[[#Totals],[(HIDDEN)2]]</f>
        <v>24652.2</v>
      </c>
    </row>
    <row r="103" spans="4:35" ht="15.75" hidden="1" customHeight="1" x14ac:dyDescent="0.25">
      <c r="D103" s="77" t="s">
        <v>142</v>
      </c>
      <c r="E103" s="77" t="s">
        <v>143</v>
      </c>
      <c r="AG103" s="58"/>
      <c r="AI103" s="40"/>
    </row>
    <row r="104" spans="4:35" ht="18.75" x14ac:dyDescent="0.25">
      <c r="D104" s="78" t="s">
        <v>47</v>
      </c>
      <c r="E104" s="79">
        <f>PERSONNEL_REGULAR55[[#Totals],[Total Yearly Personnel Expense]]+PERSONNEL_CONTRACTUAL56[[#Totals],[Total Yearly Personnel Expense]]</f>
        <v>24652.2</v>
      </c>
      <c r="G104" s="87"/>
      <c r="AG104" s="58"/>
      <c r="AI104" s="40"/>
    </row>
    <row r="105" spans="4:35" s="81" customFormat="1" ht="18.75" x14ac:dyDescent="0.25">
      <c r="D105" s="78" t="s">
        <v>82</v>
      </c>
      <c r="E105" s="80">
        <f>SUM(
SUBTOTAL(109,OPEX_COSTS52[Total Annual Cost]),
SUBTOTAL(109,OTHER_COST53[Total Annual Cost])
)</f>
        <v>0</v>
      </c>
      <c r="AG105" s="58"/>
    </row>
    <row r="106" spans="4:35" s="81" customFormat="1" ht="18.75" hidden="1" x14ac:dyDescent="0.25">
      <c r="D106" s="82" t="s">
        <v>141</v>
      </c>
      <c r="E106" s="83">
        <f>PERSONNEL_REGULAR55[[#Totals],[Total Yearly Personnel Expense]]+PERSONNEL_CONTRACTUAL56[[#Totals],[Total Yearly Personnel Expense]]+SUBTOTAL(109,OPEX_COSTS52[Total Annual Cost])+
SUBTOTAL(109,OTHER_COST53[Total Annual Cost])</f>
        <v>24652.2</v>
      </c>
      <c r="AG106" s="58" t="s">
        <v>120</v>
      </c>
    </row>
    <row r="107" spans="4:35" hidden="1" x14ac:dyDescent="0.25">
      <c r="D107" s="84" t="s">
        <v>142</v>
      </c>
      <c r="E107" s="84" t="s">
        <v>143</v>
      </c>
    </row>
    <row r="108" spans="4:35" ht="18.75" x14ac:dyDescent="0.25">
      <c r="D108" s="76" t="s">
        <v>48</v>
      </c>
      <c r="E108" s="42">
        <f>DEPRECIATION54[[#Totals],[Total Depreciation]]</f>
        <v>0</v>
      </c>
      <c r="AI108" s="58" t="s">
        <v>156</v>
      </c>
    </row>
    <row r="109" spans="4:35" ht="18.75" hidden="1" x14ac:dyDescent="0.25">
      <c r="D109" s="85" t="s">
        <v>141</v>
      </c>
      <c r="E109" s="39">
        <f>SUBTOTAL(109,tblSummaryNonCash58[(HIDDEN)2])</f>
        <v>0</v>
      </c>
    </row>
    <row r="110" spans="4:35" x14ac:dyDescent="0.25">
      <c r="D110" s="41"/>
      <c r="E110" s="41">
        <f>tblSummaryCash57[[#Totals],[(HIDDEN)2]]+tblSummaryNonCash58[[#Totals],[(HIDDEN)2]]</f>
        <v>24652.2</v>
      </c>
    </row>
    <row r="112" spans="4:35" ht="11.25" customHeight="1" x14ac:dyDescent="0.25"/>
  </sheetData>
  <mergeCells count="5">
    <mergeCell ref="A2:C2"/>
    <mergeCell ref="A3:C3"/>
    <mergeCell ref="D7:P7"/>
    <mergeCell ref="D23:P23"/>
    <mergeCell ref="A1:D1"/>
  </mergeCells>
  <dataValidations count="1">
    <dataValidation type="list" allowBlank="1" showInputMessage="1" showErrorMessage="1" sqref="F2" xr:uid="{AB72AC8F-948D-4A2E-9A1E-E2653C216A8A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Button 1">
              <controlPr defaultSize="0" print="0" autoFill="0" autoPict="0" macro="[0]!InsertRowAboveTableEnd">
                <anchor moveWithCells="1" sizeWithCells="1">
                  <from>
                    <xdr:col>6</xdr:col>
                    <xdr:colOff>447675</xdr:colOff>
                    <xdr:row>0</xdr:row>
                    <xdr:rowOff>180975</xdr:rowOff>
                  </from>
                  <to>
                    <xdr:col>7</xdr:col>
                    <xdr:colOff>962025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4" name="Button 2">
              <controlPr defaultSize="0" print="0" autoFill="0" autoPict="0" macro="[0]!Save_tblSummary_ToDB">
                <anchor moveWithCells="1" sizeWithCells="1">
                  <from>
                    <xdr:col>7</xdr:col>
                    <xdr:colOff>1295400</xdr:colOff>
                    <xdr:row>0</xdr:row>
                    <xdr:rowOff>171450</xdr:rowOff>
                  </from>
                  <to>
                    <xdr:col>8</xdr:col>
                    <xdr:colOff>1524000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600E0-F4E1-4D2E-8325-4FC6E1469318}">
          <x14:formula1>
            <xm:f>Master_Input!$B$92:$B$93</xm:f>
          </x14:formula1>
          <xm:sqref>L87:L93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FB96-C803-4192-A90D-DCDC37F09299}">
  <sheetPr codeName="Sheet14">
    <tabColor theme="3"/>
  </sheetPr>
  <dimension ref="A1:AJ112"/>
  <sheetViews>
    <sheetView showGridLines="0" zoomScale="85" zoomScaleNormal="85" workbookViewId="0">
      <pane ySplit="3" topLeftCell="A31" activePane="bottomLeft" state="frozen"/>
      <selection activeCell="D3" sqref="D3"/>
      <selection pane="bottomLeft" activeCell="F2" sqref="F2:G2"/>
    </sheetView>
  </sheetViews>
  <sheetFormatPr defaultColWidth="12.42578125" defaultRowHeight="15" x14ac:dyDescent="0.25"/>
  <cols>
    <col min="1" max="1" width="3.28515625" style="40" customWidth="1"/>
    <col min="2" max="2" width="5.7109375" style="40" customWidth="1"/>
    <col min="3" max="3" width="10.140625" style="40" customWidth="1"/>
    <col min="4" max="4" width="37.28515625" style="40" customWidth="1"/>
    <col min="5" max="5" width="37.140625" style="40" customWidth="1"/>
    <col min="6" max="6" width="43.85546875" style="40" customWidth="1"/>
    <col min="7" max="7" width="38.28515625" style="40" customWidth="1"/>
    <col min="8" max="9" width="30.42578125" style="40" customWidth="1"/>
    <col min="10" max="10" width="30.5703125" style="40" customWidth="1"/>
    <col min="11" max="11" width="35" style="40" customWidth="1"/>
    <col min="12" max="12" width="29.28515625" style="40" customWidth="1"/>
    <col min="13" max="14" width="36" style="40" customWidth="1"/>
    <col min="15" max="15" width="22.85546875" style="40" customWidth="1"/>
    <col min="16" max="16" width="32.7109375" style="40" customWidth="1"/>
    <col min="17" max="17" width="12.42578125" style="40" customWidth="1"/>
    <col min="18" max="19" width="12.42578125" style="40"/>
    <col min="20" max="34" width="12.42578125" style="40" customWidth="1"/>
    <col min="35" max="35" width="41.85546875" style="58" hidden="1" customWidth="1"/>
    <col min="36" max="16384" width="12.42578125" style="40"/>
  </cols>
  <sheetData>
    <row r="1" spans="1:35" s="43" customFormat="1" ht="35.1" customHeight="1" x14ac:dyDescent="0.25">
      <c r="A1" s="289" t="s">
        <v>434</v>
      </c>
      <c r="B1" s="289"/>
      <c r="C1" s="289"/>
      <c r="D1" s="289"/>
      <c r="F1" s="46" t="s">
        <v>99</v>
      </c>
      <c r="G1" s="47"/>
      <c r="I1" s="48"/>
      <c r="J1" s="49"/>
      <c r="K1" s="49"/>
      <c r="L1" s="49"/>
      <c r="M1" s="49"/>
      <c r="N1" s="49"/>
      <c r="AI1" s="50" t="s">
        <v>72</v>
      </c>
    </row>
    <row r="2" spans="1:35" s="43" customFormat="1" ht="23.25" customHeight="1" x14ac:dyDescent="0.25">
      <c r="A2" s="267" t="s">
        <v>0</v>
      </c>
      <c r="B2" s="267"/>
      <c r="C2" s="267"/>
      <c r="D2" s="51" t="str">
        <f>Master_Input!C6</f>
        <v>2023-2024</v>
      </c>
      <c r="F2" s="52" t="s">
        <v>433</v>
      </c>
      <c r="G2" s="53"/>
      <c r="I2" s="48"/>
      <c r="AI2" s="50" t="s">
        <v>72</v>
      </c>
    </row>
    <row r="3" spans="1:35" s="43" customFormat="1" ht="21" customHeight="1" x14ac:dyDescent="0.25">
      <c r="A3" s="266" t="s">
        <v>27</v>
      </c>
      <c r="B3" s="266"/>
      <c r="C3" s="266"/>
      <c r="D3" s="54" t="str">
        <f>Master_Input!C7</f>
        <v>FJD</v>
      </c>
      <c r="AI3" s="55"/>
    </row>
    <row r="4" spans="1:35" s="56" customFormat="1" ht="15.95" customHeight="1" x14ac:dyDescent="0.25">
      <c r="B4" s="57"/>
      <c r="C4" s="57"/>
      <c r="D4" s="57"/>
      <c r="AI4" s="58"/>
    </row>
    <row r="5" spans="1:35" x14ac:dyDescent="0.25">
      <c r="C5" s="59" t="s">
        <v>1</v>
      </c>
      <c r="D5" s="59" t="s">
        <v>2</v>
      </c>
      <c r="E5" s="59"/>
    </row>
    <row r="6" spans="1:35" x14ac:dyDescent="0.25">
      <c r="C6" s="59"/>
      <c r="D6" s="60" t="s">
        <v>3</v>
      </c>
      <c r="E6" s="59"/>
    </row>
    <row r="7" spans="1:35" x14ac:dyDescent="0.25">
      <c r="B7" s="61"/>
      <c r="C7" s="62" t="s">
        <v>4</v>
      </c>
      <c r="D7" s="263" t="s">
        <v>5</v>
      </c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5"/>
    </row>
    <row r="8" spans="1:35" s="63" customFormat="1" ht="18" customHeight="1" x14ac:dyDescent="0.25">
      <c r="C8" s="64" t="s">
        <v>6</v>
      </c>
      <c r="D8" s="64" t="s">
        <v>7</v>
      </c>
      <c r="E8" s="64" t="s">
        <v>8</v>
      </c>
      <c r="F8" s="64" t="s">
        <v>9</v>
      </c>
      <c r="G8" s="64" t="s">
        <v>73</v>
      </c>
      <c r="H8" s="64" t="s">
        <v>74</v>
      </c>
      <c r="I8" s="64" t="s">
        <v>75</v>
      </c>
      <c r="J8" s="64" t="s">
        <v>80</v>
      </c>
      <c r="K8" s="64" t="s">
        <v>76</v>
      </c>
      <c r="L8" s="64" t="s">
        <v>77</v>
      </c>
      <c r="M8" s="65" t="s">
        <v>78</v>
      </c>
      <c r="N8" s="65" t="s">
        <v>79</v>
      </c>
      <c r="O8" s="64" t="s">
        <v>41</v>
      </c>
      <c r="P8" s="64" t="s">
        <v>10</v>
      </c>
      <c r="AI8" s="58" t="s">
        <v>36</v>
      </c>
    </row>
    <row r="9" spans="1:35" s="63" customFormat="1" x14ac:dyDescent="0.25">
      <c r="C9" s="22"/>
      <c r="D9" s="22"/>
      <c r="E9" s="22"/>
      <c r="F9" s="22"/>
      <c r="G9" s="22"/>
      <c r="H9" s="22"/>
      <c r="I9" s="22"/>
      <c r="J9" s="22"/>
      <c r="K9" s="22"/>
      <c r="L9" s="22"/>
      <c r="M9" s="86"/>
      <c r="N9" s="22">
        <f>SUM(F9:L9)*M9</f>
        <v>0</v>
      </c>
      <c r="O9" s="22"/>
      <c r="P9" s="22"/>
      <c r="AI9" s="58"/>
    </row>
    <row r="10" spans="1:35" s="63" customFormat="1" x14ac:dyDescent="0.2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86"/>
      <c r="N10" s="22">
        <f>SUM(F10:L10)*M10</f>
        <v>0</v>
      </c>
      <c r="O10" s="22"/>
      <c r="P10" s="22"/>
      <c r="AI10" s="58"/>
    </row>
    <row r="11" spans="1:35" s="63" customFormat="1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86"/>
      <c r="N11" s="22">
        <f>SUM(F11:L11)*M11</f>
        <v>0</v>
      </c>
      <c r="O11" s="22"/>
      <c r="P11" s="22"/>
      <c r="AI11" s="58"/>
    </row>
    <row r="12" spans="1:35" s="63" customFormat="1" x14ac:dyDescent="0.2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86"/>
      <c r="N12" s="22">
        <f>SUM(F12:L12)*M12</f>
        <v>0</v>
      </c>
      <c r="O12" s="22"/>
      <c r="P12" s="22"/>
      <c r="AI12" s="58"/>
    </row>
    <row r="13" spans="1:35" s="63" customFormat="1" x14ac:dyDescent="0.2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86"/>
      <c r="N13" s="22">
        <f>SUM(F13:L13)*M13</f>
        <v>0</v>
      </c>
      <c r="O13" s="22"/>
      <c r="P13" s="22"/>
      <c r="AI13" s="58"/>
    </row>
    <row r="14" spans="1:35" s="63" customFormat="1" x14ac:dyDescent="0.25"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86"/>
      <c r="N14" s="22">
        <f t="shared" ref="N14:N18" si="0">SUM(F14:L14)*M14</f>
        <v>0</v>
      </c>
      <c r="O14" s="22"/>
      <c r="P14" s="22"/>
      <c r="AI14" s="58"/>
    </row>
    <row r="15" spans="1:35" s="63" customFormat="1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86"/>
      <c r="N15" s="22">
        <f>SUM(F15:L15)*M15</f>
        <v>0</v>
      </c>
      <c r="O15" s="22"/>
      <c r="P15" s="22"/>
      <c r="AI15" s="58"/>
    </row>
    <row r="16" spans="1:35" s="63" customFormat="1" x14ac:dyDescent="0.25"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86"/>
      <c r="N16" s="22">
        <f>SUM(F16:L16)*M16</f>
        <v>0</v>
      </c>
      <c r="O16" s="22"/>
      <c r="P16" s="22"/>
      <c r="AI16" s="58"/>
    </row>
    <row r="17" spans="2:35" s="63" customFormat="1" x14ac:dyDescent="0.25"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86"/>
      <c r="N17" s="22">
        <f>SUM(F17:L17)*M17</f>
        <v>0</v>
      </c>
      <c r="O17" s="22"/>
      <c r="P17" s="22"/>
      <c r="AI17" s="58"/>
    </row>
    <row r="18" spans="2:35" s="63" customFormat="1" x14ac:dyDescent="0.25"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86"/>
      <c r="N18" s="22">
        <f t="shared" si="0"/>
        <v>0</v>
      </c>
      <c r="O18" s="22"/>
      <c r="P18" s="22"/>
      <c r="AI18" s="58"/>
    </row>
    <row r="19" spans="2:35" ht="15.75" thickBot="1" x14ac:dyDescent="0.3">
      <c r="B19" s="61"/>
      <c r="C19" s="17" t="s">
        <v>40</v>
      </c>
      <c r="D19" s="17"/>
      <c r="E19" s="17"/>
      <c r="F19" s="17">
        <f>SUBTOTAL(109,PERSONNEL_REGULAR62[Annual Salary])</f>
        <v>0</v>
      </c>
      <c r="G19" s="17">
        <f>SUBTOTAL(109,PERSONNEL_REGULAR62[Benefit/Contribution (1)])</f>
        <v>0</v>
      </c>
      <c r="H19" s="17">
        <f>SUBTOTAL(109,PERSONNEL_REGULAR62[Benefit/Contribution (2)])</f>
        <v>0</v>
      </c>
      <c r="I19" s="17">
        <f>SUBTOTAL(109,PERSONNEL_REGULAR62[Benefit/Contribution (3)])</f>
        <v>0</v>
      </c>
      <c r="J19" s="17">
        <f>SUBTOTAL(109,PERSONNEL_REGULAR62[Benefit/Contribution (4)])</f>
        <v>0</v>
      </c>
      <c r="K19" s="17">
        <f>SUBTOTAL(109,PERSONNEL_REGULAR62[Benefit/Contribution (5)])</f>
        <v>0</v>
      </c>
      <c r="L19" s="17">
        <f>SUBTOTAL(109,PERSONNEL_REGULAR62[Other Benefits])</f>
        <v>0</v>
      </c>
      <c r="M19" s="17"/>
      <c r="N19" s="17">
        <f>SUBTOTAL(109,PERSONNEL_REGULAR62[Total Yearly Personnel Expense])</f>
        <v>0</v>
      </c>
      <c r="O19" s="17"/>
      <c r="P19" s="17"/>
    </row>
    <row r="20" spans="2:35" ht="15.75" thickTop="1" x14ac:dyDescent="0.25">
      <c r="B20" s="61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R20" s="63"/>
    </row>
    <row r="21" spans="2:35" x14ac:dyDescent="0.25">
      <c r="B21" s="61"/>
      <c r="C21" s="63"/>
      <c r="D21" s="63"/>
      <c r="E21" s="63"/>
      <c r="F21" s="63"/>
      <c r="G21" s="63"/>
      <c r="I21" s="63"/>
      <c r="J21" s="63"/>
      <c r="K21" s="63"/>
      <c r="L21" s="63"/>
      <c r="M21" s="63"/>
      <c r="N21" s="63"/>
      <c r="O21" s="63"/>
      <c r="P21" s="63"/>
    </row>
    <row r="22" spans="2:35" s="63" customFormat="1" ht="18.75" customHeight="1" x14ac:dyDescent="0.25">
      <c r="AI22" s="58"/>
    </row>
    <row r="23" spans="2:35" s="63" customFormat="1" x14ac:dyDescent="0.25">
      <c r="C23" s="62" t="s">
        <v>11</v>
      </c>
      <c r="D23" s="263" t="s">
        <v>46</v>
      </c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5"/>
      <c r="AI23" s="58"/>
    </row>
    <row r="24" spans="2:35" s="63" customFormat="1" ht="14.25" customHeight="1" x14ac:dyDescent="0.25">
      <c r="C24" s="64" t="s">
        <v>6</v>
      </c>
      <c r="D24" s="64" t="s">
        <v>7</v>
      </c>
      <c r="E24" s="64" t="s">
        <v>8</v>
      </c>
      <c r="F24" s="64" t="s">
        <v>9</v>
      </c>
      <c r="G24" s="64" t="s">
        <v>73</v>
      </c>
      <c r="H24" s="64" t="s">
        <v>74</v>
      </c>
      <c r="I24" s="64" t="s">
        <v>75</v>
      </c>
      <c r="J24" s="64" t="s">
        <v>80</v>
      </c>
      <c r="K24" s="64" t="s">
        <v>76</v>
      </c>
      <c r="L24" s="64" t="s">
        <v>77</v>
      </c>
      <c r="M24" s="65" t="s">
        <v>78</v>
      </c>
      <c r="N24" s="65" t="s">
        <v>79</v>
      </c>
      <c r="O24" s="64" t="s">
        <v>41</v>
      </c>
      <c r="P24" s="64" t="s">
        <v>10</v>
      </c>
      <c r="AI24" s="58" t="s">
        <v>36</v>
      </c>
    </row>
    <row r="25" spans="2:35" s="63" customFormat="1" x14ac:dyDescent="0.25"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86"/>
      <c r="N25" s="22">
        <f t="shared" ref="N25:N30" si="1">SUM(F25:L25)*M25</f>
        <v>0</v>
      </c>
      <c r="O25" s="22"/>
      <c r="P25" s="22"/>
      <c r="AI25" s="58"/>
    </row>
    <row r="26" spans="2:35" s="63" customFormat="1" x14ac:dyDescent="0.25"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86"/>
      <c r="N26" s="22">
        <f t="shared" si="1"/>
        <v>0</v>
      </c>
      <c r="O26" s="22"/>
      <c r="P26" s="22"/>
      <c r="AI26" s="58"/>
    </row>
    <row r="27" spans="2:35" s="63" customFormat="1" x14ac:dyDescent="0.25"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86"/>
      <c r="N27" s="22">
        <f t="shared" si="1"/>
        <v>0</v>
      </c>
      <c r="O27" s="22"/>
      <c r="P27" s="22"/>
      <c r="AI27" s="58"/>
    </row>
    <row r="28" spans="2:35" s="63" customFormat="1" x14ac:dyDescent="0.25"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86"/>
      <c r="N28" s="22">
        <f>SUM(F28:L28)*M28</f>
        <v>0</v>
      </c>
      <c r="O28" s="22"/>
      <c r="P28" s="22"/>
      <c r="AI28" s="58"/>
    </row>
    <row r="29" spans="2:35" s="63" customFormat="1" x14ac:dyDescent="0.25"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86"/>
      <c r="N29" s="22">
        <f t="shared" si="1"/>
        <v>0</v>
      </c>
      <c r="O29" s="22"/>
      <c r="P29" s="22"/>
      <c r="AI29" s="58"/>
    </row>
    <row r="30" spans="2:35" s="63" customFormat="1" x14ac:dyDescent="0.25">
      <c r="B30" s="4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86"/>
      <c r="N30" s="22">
        <f t="shared" si="1"/>
        <v>0</v>
      </c>
      <c r="O30" s="22"/>
      <c r="P30" s="22"/>
      <c r="AI30" s="58"/>
    </row>
    <row r="31" spans="2:35" s="63" customFormat="1" ht="15.75" thickBot="1" x14ac:dyDescent="0.3">
      <c r="B31" s="40"/>
      <c r="C31" s="17" t="s">
        <v>40</v>
      </c>
      <c r="D31" s="17"/>
      <c r="E31" s="17"/>
      <c r="F31" s="17">
        <f>SUBTOTAL(109,PERSONNEL_CONTRACTUAL63[Annual Salary])</f>
        <v>0</v>
      </c>
      <c r="G31" s="17">
        <f>SUBTOTAL(109,PERSONNEL_CONTRACTUAL63[Benefit/Contribution (1)])</f>
        <v>0</v>
      </c>
      <c r="H31" s="17">
        <f>SUBTOTAL(109,PERSONNEL_CONTRACTUAL63[Benefit/Contribution (2)])</f>
        <v>0</v>
      </c>
      <c r="I31" s="17">
        <f>SUBTOTAL(109,PERSONNEL_CONTRACTUAL63[Benefit/Contribution (3)])</f>
        <v>0</v>
      </c>
      <c r="J31" s="17">
        <f>SUBTOTAL(109,PERSONNEL_CONTRACTUAL63[Benefit/Contribution (4)])</f>
        <v>0</v>
      </c>
      <c r="K31" s="17">
        <f>SUBTOTAL(109,PERSONNEL_CONTRACTUAL63[Benefit/Contribution (5)])</f>
        <v>0</v>
      </c>
      <c r="L31" s="17">
        <f>SUBTOTAL(109,PERSONNEL_CONTRACTUAL63[Other Benefits])</f>
        <v>0</v>
      </c>
      <c r="M31" s="17"/>
      <c r="N31" s="17">
        <f>SUBTOTAL(109,PERSONNEL_CONTRACTUAL63[Total Yearly Personnel Expense])</f>
        <v>0</v>
      </c>
      <c r="O31" s="17"/>
      <c r="P31" s="17"/>
      <c r="AI31" s="58"/>
    </row>
    <row r="32" spans="2:35" s="63" customFormat="1" ht="15.75" thickTop="1" x14ac:dyDescent="0.25">
      <c r="B32" s="40"/>
      <c r="AI32" s="58"/>
    </row>
    <row r="33" spans="2:35" s="63" customFormat="1" x14ac:dyDescent="0.25">
      <c r="B33" s="40"/>
      <c r="AI33" s="58"/>
    </row>
    <row r="34" spans="2:35" s="63" customFormat="1" x14ac:dyDescent="0.25">
      <c r="AI34" s="58"/>
    </row>
    <row r="35" spans="2:35" s="63" customFormat="1" x14ac:dyDescent="0.25">
      <c r="G35" s="40"/>
      <c r="AI35" s="58"/>
    </row>
    <row r="36" spans="2:35" s="63" customFormat="1" x14ac:dyDescent="0.25">
      <c r="C36" s="59" t="s">
        <v>1</v>
      </c>
      <c r="D36" s="59" t="s">
        <v>2</v>
      </c>
      <c r="E36" s="59"/>
      <c r="AI36" s="58"/>
    </row>
    <row r="37" spans="2:35" s="63" customFormat="1" x14ac:dyDescent="0.25">
      <c r="C37" s="59"/>
      <c r="D37" s="60" t="s">
        <v>50</v>
      </c>
      <c r="E37" s="59"/>
      <c r="AI37" s="58"/>
    </row>
    <row r="38" spans="2:35" s="63" customFormat="1" x14ac:dyDescent="0.25">
      <c r="C38" s="66" t="s">
        <v>6</v>
      </c>
      <c r="D38" s="23" t="s">
        <v>12</v>
      </c>
      <c r="E38" s="23" t="s">
        <v>13</v>
      </c>
      <c r="F38" s="67" t="s">
        <v>10</v>
      </c>
      <c r="AI38" s="58" t="s">
        <v>36</v>
      </c>
    </row>
    <row r="39" spans="2:35" s="63" customFormat="1" x14ac:dyDescent="0.25">
      <c r="C39" s="22"/>
      <c r="D39" s="68" t="s">
        <v>52</v>
      </c>
      <c r="E39" s="22">
        <v>450000</v>
      </c>
      <c r="F39" s="22"/>
      <c r="AI39" s="58"/>
    </row>
    <row r="40" spans="2:35" s="63" customFormat="1" x14ac:dyDescent="0.25">
      <c r="C40" s="22"/>
      <c r="D40" s="68" t="s">
        <v>53</v>
      </c>
      <c r="E40" s="22"/>
      <c r="F40" s="22"/>
      <c r="AI40" s="58"/>
    </row>
    <row r="41" spans="2:35" s="63" customFormat="1" x14ac:dyDescent="0.25">
      <c r="C41" s="22"/>
      <c r="D41" s="68" t="s">
        <v>54</v>
      </c>
      <c r="E41" s="22"/>
      <c r="F41" s="22"/>
      <c r="AI41" s="58"/>
    </row>
    <row r="42" spans="2:35" s="63" customFormat="1" x14ac:dyDescent="0.25">
      <c r="C42" s="22"/>
      <c r="D42" s="68" t="s">
        <v>55</v>
      </c>
      <c r="E42" s="22"/>
      <c r="F42" s="22"/>
      <c r="AI42" s="58"/>
    </row>
    <row r="43" spans="2:35" s="63" customFormat="1" x14ac:dyDescent="0.25">
      <c r="C43" s="22"/>
      <c r="D43" s="68" t="s">
        <v>56</v>
      </c>
      <c r="E43" s="22"/>
      <c r="F43" s="22"/>
      <c r="AI43" s="58"/>
    </row>
    <row r="44" spans="2:35" s="63" customFormat="1" x14ac:dyDescent="0.25">
      <c r="C44" s="22"/>
      <c r="D44" s="40" t="s">
        <v>57</v>
      </c>
      <c r="E44" s="22"/>
      <c r="F44" s="22"/>
      <c r="AI44" s="58"/>
    </row>
    <row r="45" spans="2:35" s="63" customFormat="1" x14ac:dyDescent="0.25">
      <c r="C45" s="22"/>
      <c r="D45" s="40" t="s">
        <v>58</v>
      </c>
      <c r="E45" s="22"/>
      <c r="F45" s="22"/>
      <c r="AI45" s="58"/>
    </row>
    <row r="46" spans="2:35" s="63" customFormat="1" x14ac:dyDescent="0.25">
      <c r="C46" s="22"/>
      <c r="D46" s="40" t="s">
        <v>59</v>
      </c>
      <c r="E46" s="22"/>
      <c r="F46" s="22"/>
      <c r="AI46" s="58"/>
    </row>
    <row r="47" spans="2:35" s="63" customFormat="1" x14ac:dyDescent="0.25">
      <c r="C47" s="22"/>
      <c r="D47" s="40" t="s">
        <v>60</v>
      </c>
      <c r="E47" s="22"/>
      <c r="F47" s="22"/>
      <c r="AI47" s="58"/>
    </row>
    <row r="48" spans="2:35" s="63" customFormat="1" x14ac:dyDescent="0.25">
      <c r="C48" s="22"/>
      <c r="D48" s="40" t="s">
        <v>61</v>
      </c>
      <c r="E48" s="22"/>
      <c r="F48" s="22"/>
      <c r="AI48" s="58"/>
    </row>
    <row r="49" spans="2:35" s="63" customFormat="1" x14ac:dyDescent="0.25">
      <c r="C49" s="22"/>
      <c r="D49" s="40" t="s">
        <v>62</v>
      </c>
      <c r="E49" s="22"/>
      <c r="F49" s="22"/>
      <c r="AI49" s="58"/>
    </row>
    <row r="50" spans="2:35" s="63" customFormat="1" x14ac:dyDescent="0.25">
      <c r="C50" s="22"/>
      <c r="D50" s="40" t="s">
        <v>63</v>
      </c>
      <c r="E50" s="22"/>
      <c r="F50" s="22"/>
      <c r="AI50" s="58"/>
    </row>
    <row r="51" spans="2:35" s="63" customFormat="1" x14ac:dyDescent="0.25">
      <c r="C51" s="22"/>
      <c r="D51" s="40" t="s">
        <v>64</v>
      </c>
      <c r="E51" s="22"/>
      <c r="F51" s="22"/>
      <c r="AI51" s="58"/>
    </row>
    <row r="52" spans="2:35" s="63" customFormat="1" x14ac:dyDescent="0.25">
      <c r="C52" s="22"/>
      <c r="D52" s="68" t="s">
        <v>66</v>
      </c>
      <c r="E52" s="22"/>
      <c r="F52" s="22"/>
      <c r="AI52" s="58"/>
    </row>
    <row r="53" spans="2:35" s="63" customFormat="1" x14ac:dyDescent="0.25">
      <c r="C53" s="22"/>
      <c r="D53" s="68" t="s">
        <v>67</v>
      </c>
      <c r="E53" s="22"/>
      <c r="F53" s="22"/>
      <c r="AI53" s="58"/>
    </row>
    <row r="54" spans="2:35" s="63" customFormat="1" x14ac:dyDescent="0.25">
      <c r="C54" s="22"/>
      <c r="D54" s="68" t="s">
        <v>68</v>
      </c>
      <c r="E54" s="22"/>
      <c r="F54" s="22"/>
      <c r="AI54" s="58"/>
    </row>
    <row r="55" spans="2:35" s="63" customFormat="1" x14ac:dyDescent="0.25">
      <c r="C55" s="22"/>
      <c r="D55" s="68" t="s">
        <v>69</v>
      </c>
      <c r="E55" s="22"/>
      <c r="F55" s="22"/>
      <c r="AI55" s="58"/>
    </row>
    <row r="56" spans="2:35" s="63" customFormat="1" x14ac:dyDescent="0.25">
      <c r="C56" s="22"/>
      <c r="D56" s="68" t="s">
        <v>70</v>
      </c>
      <c r="E56" s="22"/>
      <c r="F56" s="22"/>
      <c r="AI56" s="58"/>
    </row>
    <row r="57" spans="2:35" s="63" customFormat="1" x14ac:dyDescent="0.25">
      <c r="C57" s="22"/>
      <c r="D57" s="68" t="s">
        <v>65</v>
      </c>
      <c r="E57" s="22"/>
      <c r="F57" s="22"/>
      <c r="AI57" s="58"/>
    </row>
    <row r="58" spans="2:35" s="63" customFormat="1" x14ac:dyDescent="0.25">
      <c r="C58" s="22"/>
      <c r="D58" s="68" t="s">
        <v>65</v>
      </c>
      <c r="E58" s="22"/>
      <c r="F58" s="22"/>
      <c r="AI58" s="58"/>
    </row>
    <row r="59" spans="2:35" s="63" customFormat="1" x14ac:dyDescent="0.25">
      <c r="C59" s="22"/>
      <c r="D59" s="68" t="s">
        <v>65</v>
      </c>
      <c r="E59" s="22"/>
      <c r="F59" s="22"/>
      <c r="AI59" s="58"/>
    </row>
    <row r="60" spans="2:35" s="63" customFormat="1" x14ac:dyDescent="0.25">
      <c r="C60" s="22"/>
      <c r="D60" s="68" t="s">
        <v>65</v>
      </c>
      <c r="E60" s="22"/>
      <c r="F60" s="22"/>
      <c r="AI60" s="58"/>
    </row>
    <row r="61" spans="2:35" s="63" customFormat="1" x14ac:dyDescent="0.25">
      <c r="C61" s="22"/>
      <c r="D61" s="68" t="s">
        <v>65</v>
      </c>
      <c r="E61" s="22"/>
      <c r="F61" s="22"/>
      <c r="AI61" s="58"/>
    </row>
    <row r="62" spans="2:35" s="63" customFormat="1" x14ac:dyDescent="0.25">
      <c r="C62" s="22"/>
      <c r="D62" s="68" t="s">
        <v>65</v>
      </c>
      <c r="E62" s="22"/>
      <c r="F62" s="22"/>
      <c r="AI62" s="58"/>
    </row>
    <row r="63" spans="2:35" s="63" customFormat="1" x14ac:dyDescent="0.25">
      <c r="B63" s="40"/>
      <c r="C63" s="22"/>
      <c r="D63" s="68" t="s">
        <v>65</v>
      </c>
      <c r="E63" s="22"/>
      <c r="F63" s="22"/>
      <c r="AI63" s="58"/>
    </row>
    <row r="64" spans="2:35" s="63" customFormat="1" x14ac:dyDescent="0.25">
      <c r="B64" s="40"/>
      <c r="C64" s="22"/>
      <c r="D64" s="68" t="s">
        <v>65</v>
      </c>
      <c r="E64" s="22"/>
      <c r="F64" s="22"/>
      <c r="AI64" s="58"/>
    </row>
    <row r="65" spans="2:35" s="63" customFormat="1" x14ac:dyDescent="0.25">
      <c r="B65" s="40"/>
      <c r="C65" s="22"/>
      <c r="D65" s="68" t="s">
        <v>65</v>
      </c>
      <c r="E65" s="22"/>
      <c r="F65" s="22"/>
      <c r="AI65" s="58"/>
    </row>
    <row r="66" spans="2:35" s="63" customFormat="1" ht="15.75" thickBot="1" x14ac:dyDescent="0.3">
      <c r="B66" s="40"/>
      <c r="C66" s="17" t="s">
        <v>40</v>
      </c>
      <c r="D66" s="17"/>
      <c r="E66" s="17">
        <f>SUBTOTAL(109,OPEX_COSTS59[Total Annual Cost])</f>
        <v>450000</v>
      </c>
      <c r="F66" s="17"/>
      <c r="AI66" s="58"/>
    </row>
    <row r="67" spans="2:35" s="63" customFormat="1" ht="15.75" thickTop="1" x14ac:dyDescent="0.25">
      <c r="B67" s="40"/>
      <c r="AI67" s="58"/>
    </row>
    <row r="68" spans="2:35" s="63" customFormat="1" x14ac:dyDescent="0.25">
      <c r="AI68" s="58"/>
    </row>
    <row r="69" spans="2:35" s="63" customFormat="1" x14ac:dyDescent="0.25">
      <c r="AI69" s="58"/>
    </row>
    <row r="70" spans="2:35" s="63" customFormat="1" x14ac:dyDescent="0.25">
      <c r="C70" s="59" t="s">
        <v>1</v>
      </c>
      <c r="D70" s="59" t="s">
        <v>2</v>
      </c>
      <c r="E70" s="59"/>
      <c r="AI70" s="58"/>
    </row>
    <row r="71" spans="2:35" s="63" customFormat="1" x14ac:dyDescent="0.25">
      <c r="C71" s="59"/>
      <c r="D71" s="60" t="s">
        <v>81</v>
      </c>
      <c r="E71" s="59"/>
      <c r="AI71" s="58"/>
    </row>
    <row r="72" spans="2:35" s="63" customFormat="1" x14ac:dyDescent="0.25">
      <c r="C72" s="66" t="s">
        <v>28</v>
      </c>
      <c r="D72" s="23" t="s">
        <v>12</v>
      </c>
      <c r="E72" s="23" t="s">
        <v>14</v>
      </c>
      <c r="F72" s="23" t="s">
        <v>15</v>
      </c>
      <c r="G72" s="23" t="s">
        <v>13</v>
      </c>
      <c r="H72" s="67" t="s">
        <v>10</v>
      </c>
      <c r="AI72" s="58" t="s">
        <v>36</v>
      </c>
    </row>
    <row r="73" spans="2:35" s="63" customFormat="1" x14ac:dyDescent="0.25">
      <c r="C73" s="22"/>
      <c r="D73" s="22"/>
      <c r="E73" s="22"/>
      <c r="F73" s="22"/>
      <c r="G73" s="22">
        <f>OTHER_COST60[[#This Row],[Cost per Unit]]*OTHER_COST60[[#This Row],[Units]]</f>
        <v>0</v>
      </c>
      <c r="H73" s="22"/>
      <c r="AI73" s="58"/>
    </row>
    <row r="74" spans="2:35" s="63" customFormat="1" x14ac:dyDescent="0.25">
      <c r="C74" s="22"/>
      <c r="D74" s="22"/>
      <c r="E74" s="22"/>
      <c r="F74" s="22"/>
      <c r="G74" s="22">
        <f>OTHER_COST60[[#This Row],[Cost per Unit]]*OTHER_COST60[[#This Row],[Units]]</f>
        <v>0</v>
      </c>
      <c r="H74" s="22"/>
      <c r="AI74" s="58"/>
    </row>
    <row r="75" spans="2:35" s="63" customFormat="1" x14ac:dyDescent="0.25">
      <c r="C75" s="22"/>
      <c r="D75" s="22"/>
      <c r="E75" s="22"/>
      <c r="F75" s="22"/>
      <c r="G75" s="22">
        <f>OTHER_COST60[[#This Row],[Cost per Unit]]*OTHER_COST60[[#This Row],[Units]]</f>
        <v>0</v>
      </c>
      <c r="H75" s="22"/>
      <c r="AI75" s="58"/>
    </row>
    <row r="76" spans="2:35" s="63" customFormat="1" x14ac:dyDescent="0.25">
      <c r="C76" s="22"/>
      <c r="D76" s="22"/>
      <c r="E76" s="22"/>
      <c r="F76" s="22"/>
      <c r="G76" s="22">
        <f>OTHER_COST60[[#This Row],[Cost per Unit]]*OTHER_COST60[[#This Row],[Units]]</f>
        <v>0</v>
      </c>
      <c r="H76" s="22"/>
      <c r="AI76" s="58"/>
    </row>
    <row r="77" spans="2:35" s="63" customFormat="1" x14ac:dyDescent="0.25">
      <c r="B77" s="40"/>
      <c r="C77" s="22"/>
      <c r="D77" s="22"/>
      <c r="E77" s="22"/>
      <c r="F77" s="22"/>
      <c r="G77" s="22">
        <f>OTHER_COST60[[#This Row],[Cost per Unit]]*OTHER_COST60[[#This Row],[Units]]</f>
        <v>0</v>
      </c>
      <c r="H77" s="22"/>
      <c r="AI77" s="58"/>
    </row>
    <row r="78" spans="2:35" s="63" customFormat="1" x14ac:dyDescent="0.25">
      <c r="B78" s="40"/>
      <c r="C78" s="22"/>
      <c r="D78" s="22"/>
      <c r="E78" s="22"/>
      <c r="F78" s="22"/>
      <c r="G78" s="22">
        <f>OTHER_COST60[[#This Row],[Cost per Unit]]*OTHER_COST60[[#This Row],[Units]]</f>
        <v>0</v>
      </c>
      <c r="H78" s="22"/>
      <c r="AI78" s="58"/>
    </row>
    <row r="79" spans="2:35" s="63" customFormat="1" x14ac:dyDescent="0.25">
      <c r="B79" s="40"/>
      <c r="C79" s="22"/>
      <c r="D79" s="22"/>
      <c r="E79" s="22"/>
      <c r="F79" s="22"/>
      <c r="G79" s="22">
        <f t="shared" ref="G79" si="2">E79*F79</f>
        <v>0</v>
      </c>
      <c r="H79" s="22"/>
      <c r="AI79" s="58"/>
    </row>
    <row r="80" spans="2:35" s="63" customFormat="1" ht="15.75" thickBot="1" x14ac:dyDescent="0.3">
      <c r="B80" s="40"/>
      <c r="C80" s="69" t="s">
        <v>40</v>
      </c>
      <c r="D80" s="69"/>
      <c r="E80" s="69"/>
      <c r="F80" s="69"/>
      <c r="G80" s="69">
        <f>SUBTOTAL(109,OTHER_COST60[Total Annual Cost])</f>
        <v>0</v>
      </c>
      <c r="H80" s="69"/>
      <c r="AI80" s="58"/>
    </row>
    <row r="81" spans="2:36" s="63" customFormat="1" ht="15.75" thickTop="1" x14ac:dyDescent="0.25">
      <c r="B81" s="40"/>
      <c r="AI81" s="58"/>
    </row>
    <row r="82" spans="2:36" s="63" customFormat="1" x14ac:dyDescent="0.25">
      <c r="B82" s="40"/>
      <c r="AI82" s="58"/>
    </row>
    <row r="83" spans="2:36" s="63" customFormat="1" x14ac:dyDescent="0.25">
      <c r="AI83" s="58"/>
    </row>
    <row r="84" spans="2:36" s="63" customFormat="1" x14ac:dyDescent="0.25">
      <c r="C84" s="59" t="s">
        <v>1</v>
      </c>
      <c r="D84" s="59" t="s">
        <v>2</v>
      </c>
      <c r="E84" s="59"/>
      <c r="AI84" s="58"/>
    </row>
    <row r="85" spans="2:36" s="63" customFormat="1" x14ac:dyDescent="0.25">
      <c r="C85" s="59"/>
      <c r="D85" s="60" t="s">
        <v>16</v>
      </c>
      <c r="E85" s="59"/>
      <c r="AI85" s="58"/>
    </row>
    <row r="86" spans="2:36" s="70" customFormat="1" ht="33" customHeight="1" x14ac:dyDescent="0.25">
      <c r="C86" s="71" t="s">
        <v>17</v>
      </c>
      <c r="D86" s="24" t="s">
        <v>12</v>
      </c>
      <c r="E86" s="24" t="s">
        <v>18</v>
      </c>
      <c r="F86" s="24" t="s">
        <v>19</v>
      </c>
      <c r="G86" s="24" t="s">
        <v>20</v>
      </c>
      <c r="H86" s="24" t="s">
        <v>21</v>
      </c>
      <c r="I86" s="24" t="s">
        <v>22</v>
      </c>
      <c r="J86" s="24" t="s">
        <v>23</v>
      </c>
      <c r="K86" s="24" t="s">
        <v>24</v>
      </c>
      <c r="L86" s="24" t="s">
        <v>364</v>
      </c>
      <c r="M86" s="24" t="s">
        <v>25</v>
      </c>
      <c r="N86" s="72" t="s">
        <v>10</v>
      </c>
      <c r="AJ86" s="73" t="s">
        <v>36</v>
      </c>
    </row>
    <row r="87" spans="2:36" s="63" customFormat="1" x14ac:dyDescent="0.25">
      <c r="C87" s="22"/>
      <c r="D87" s="22"/>
      <c r="E87" s="248"/>
      <c r="F87" s="22"/>
      <c r="G87" s="22"/>
      <c r="H87" s="22">
        <f>DEPRECIATION61[[#This Row],[Initial Cost If Purchased or Value of Granted Asset]]-DEPRECIATION61[[#This Row],[Salvage Value]]</f>
        <v>0</v>
      </c>
      <c r="I87" s="248"/>
      <c r="J87" s="22"/>
      <c r="K87" s="22">
        <f>IFERROR(DEPRECIATION61[[#This Row],[Depreciable Cost]]/DEPRECIATION61[[#This Row],[Useful Life]], 0)</f>
        <v>0</v>
      </c>
      <c r="L87" s="22" t="s">
        <v>28</v>
      </c>
      <c r="M87" s="22">
        <f>IF(DEPRECIATION61[[#This Row],[Exceeded useful life]]="YES",0,IFERROR(DEPRECIATION61[[#This Row],[Number of Assets]]*DEPRECIATION61[[#This Row],[Annual Depreciation]],0))</f>
        <v>0</v>
      </c>
      <c r="N87" s="22"/>
      <c r="AJ87" s="58"/>
    </row>
    <row r="88" spans="2:36" s="63" customFormat="1" x14ac:dyDescent="0.25">
      <c r="C88" s="22"/>
      <c r="D88" s="22"/>
      <c r="E88" s="248"/>
      <c r="F88" s="22"/>
      <c r="G88" s="22"/>
      <c r="H88" s="22">
        <f>DEPRECIATION61[[#This Row],[Initial Cost If Purchased or Value of Granted Asset]]-DEPRECIATION61[[#This Row],[Salvage Value]]</f>
        <v>0</v>
      </c>
      <c r="I88" s="248"/>
      <c r="J88" s="22"/>
      <c r="K88" s="22">
        <f>IFERROR(DEPRECIATION61[[#This Row],[Depreciable Cost]]/DEPRECIATION61[[#This Row],[Useful Life]], 0)</f>
        <v>0</v>
      </c>
      <c r="L88" s="22" t="s">
        <v>28</v>
      </c>
      <c r="M88" s="22">
        <f>IF(DEPRECIATION61[[#This Row],[Exceeded useful life]]="YES",0,IFERROR(DEPRECIATION61[[#This Row],[Number of Assets]]*DEPRECIATION61[[#This Row],[Annual Depreciation]],0))</f>
        <v>0</v>
      </c>
      <c r="N88" s="22"/>
      <c r="AJ88" s="58"/>
    </row>
    <row r="89" spans="2:36" s="63" customFormat="1" x14ac:dyDescent="0.25">
      <c r="B89" s="40"/>
      <c r="C89" s="22"/>
      <c r="D89" s="22"/>
      <c r="E89" s="248"/>
      <c r="F89" s="22"/>
      <c r="G89" s="22"/>
      <c r="H89" s="22">
        <f>DEPRECIATION61[[#This Row],[Initial Cost If Purchased or Value of Granted Asset]]-DEPRECIATION61[[#This Row],[Salvage Value]]</f>
        <v>0</v>
      </c>
      <c r="I89" s="248"/>
      <c r="J89" s="22"/>
      <c r="K89" s="22">
        <f>IFERROR(DEPRECIATION61[[#This Row],[Depreciable Cost]]/DEPRECIATION61[[#This Row],[Useful Life]], 0)</f>
        <v>0</v>
      </c>
      <c r="L89" s="22" t="s">
        <v>28</v>
      </c>
      <c r="M89" s="22">
        <f>IF(DEPRECIATION61[[#This Row],[Exceeded useful life]]="YES",0,IFERROR(DEPRECIATION61[[#This Row],[Number of Assets]]*DEPRECIATION61[[#This Row],[Annual Depreciation]],0))</f>
        <v>0</v>
      </c>
      <c r="N89" s="22"/>
      <c r="AJ89" s="58"/>
    </row>
    <row r="90" spans="2:36" s="63" customFormat="1" x14ac:dyDescent="0.25">
      <c r="B90" s="40"/>
      <c r="C90" s="22"/>
      <c r="D90" s="22"/>
      <c r="E90" s="248"/>
      <c r="F90" s="22"/>
      <c r="G90" s="22"/>
      <c r="H90" s="22">
        <f>DEPRECIATION61[[#This Row],[Initial Cost If Purchased or Value of Granted Asset]]-DEPRECIATION61[[#This Row],[Salvage Value]]</f>
        <v>0</v>
      </c>
      <c r="I90" s="248"/>
      <c r="J90" s="22"/>
      <c r="K90" s="22">
        <f>IFERROR(DEPRECIATION61[[#This Row],[Depreciable Cost]]/DEPRECIATION61[[#This Row],[Useful Life]], 0)</f>
        <v>0</v>
      </c>
      <c r="L90" s="22" t="s">
        <v>28</v>
      </c>
      <c r="M90" s="22">
        <f>IF(DEPRECIATION61[[#This Row],[Exceeded useful life]]="YES",0,IFERROR(DEPRECIATION61[[#This Row],[Number of Assets]]*DEPRECIATION61[[#This Row],[Annual Depreciation]],0))</f>
        <v>0</v>
      </c>
      <c r="N90" s="22"/>
      <c r="AJ90" s="58"/>
    </row>
    <row r="91" spans="2:36" s="63" customFormat="1" x14ac:dyDescent="0.25">
      <c r="B91" s="40"/>
      <c r="C91" s="22"/>
      <c r="D91" s="22"/>
      <c r="E91" s="248"/>
      <c r="F91" s="22"/>
      <c r="G91" s="22"/>
      <c r="H91" s="22">
        <f>DEPRECIATION61[[#This Row],[Initial Cost If Purchased or Value of Granted Asset]]-DEPRECIATION61[[#This Row],[Salvage Value]]</f>
        <v>0</v>
      </c>
      <c r="I91" s="248"/>
      <c r="J91" s="22"/>
      <c r="K91" s="22">
        <f>IFERROR(DEPRECIATION61[[#This Row],[Depreciable Cost]]/DEPRECIATION61[[#This Row],[Useful Life]], 0)</f>
        <v>0</v>
      </c>
      <c r="L91" s="22" t="s">
        <v>28</v>
      </c>
      <c r="M91" s="22">
        <f>IF(DEPRECIATION61[[#This Row],[Exceeded useful life]]="YES",0,IFERROR(DEPRECIATION61[[#This Row],[Number of Assets]]*DEPRECIATION61[[#This Row],[Annual Depreciation]],0))</f>
        <v>0</v>
      </c>
      <c r="N91" s="22"/>
      <c r="AJ91" s="58"/>
    </row>
    <row r="92" spans="2:36" s="63" customFormat="1" x14ac:dyDescent="0.25">
      <c r="B92" s="40"/>
      <c r="C92" s="22"/>
      <c r="D92" s="22"/>
      <c r="E92" s="248"/>
      <c r="F92" s="22"/>
      <c r="G92" s="22"/>
      <c r="H92" s="22">
        <f>DEPRECIATION61[[#This Row],[Initial Cost If Purchased or Value of Granted Asset]]-DEPRECIATION61[[#This Row],[Salvage Value]]</f>
        <v>0</v>
      </c>
      <c r="I92" s="248"/>
      <c r="J92" s="22"/>
      <c r="K92" s="22">
        <f>IFERROR(DEPRECIATION61[[#This Row],[Depreciable Cost]]/DEPRECIATION61[[#This Row],[Useful Life]], 0)</f>
        <v>0</v>
      </c>
      <c r="L92" s="22" t="s">
        <v>28</v>
      </c>
      <c r="M92" s="22">
        <f>IF(DEPRECIATION61[[#This Row],[Exceeded useful life]]="YES",0,IFERROR(DEPRECIATION61[[#This Row],[Number of Assets]]*DEPRECIATION61[[#This Row],[Annual Depreciation]],0))</f>
        <v>0</v>
      </c>
      <c r="N92" s="22"/>
      <c r="AJ92" s="58"/>
    </row>
    <row r="93" spans="2:36" s="63" customFormat="1" x14ac:dyDescent="0.25">
      <c r="B93" s="40"/>
      <c r="C93" s="22"/>
      <c r="D93" s="22"/>
      <c r="E93" s="248"/>
      <c r="F93" s="22"/>
      <c r="G93" s="22"/>
      <c r="H93" s="22">
        <f>DEPRECIATION61[[#This Row],[Initial Cost If Purchased or Value of Granted Asset]]-DEPRECIATION61[[#This Row],[Salvage Value]]</f>
        <v>0</v>
      </c>
      <c r="I93" s="248"/>
      <c r="J93" s="22"/>
      <c r="K93" s="22">
        <f>IFERROR(DEPRECIATION61[[#This Row],[Depreciable Cost]]/DEPRECIATION61[[#This Row],[Useful Life]], 0)</f>
        <v>0</v>
      </c>
      <c r="L93" s="22" t="s">
        <v>28</v>
      </c>
      <c r="M93" s="22">
        <f>IF(DEPRECIATION61[[#This Row],[Exceeded useful life]]="YES",0,IFERROR(DEPRECIATION61[[#This Row],[Number of Assets]]*DEPRECIATION61[[#This Row],[Annual Depreciation]],0))</f>
        <v>0</v>
      </c>
      <c r="N93" s="22"/>
      <c r="AJ93" s="58"/>
    </row>
    <row r="94" spans="2:36" s="63" customFormat="1" ht="15.75" thickBot="1" x14ac:dyDescent="0.3">
      <c r="B94" s="40"/>
      <c r="C94" s="17" t="s">
        <v>40</v>
      </c>
      <c r="D94" s="17"/>
      <c r="E94" s="17"/>
      <c r="F94" s="17"/>
      <c r="G94" s="17"/>
      <c r="H94" s="17">
        <f>SUBTOTAL(109,DEPRECIATION61[Depreciable Cost])</f>
        <v>0</v>
      </c>
      <c r="I94" s="17"/>
      <c r="J94" s="17"/>
      <c r="K94" s="17"/>
      <c r="L94" s="17"/>
      <c r="M94" s="17">
        <f>SUBTOTAL(109,DEPRECIATION61[Total Depreciation])</f>
        <v>0</v>
      </c>
      <c r="N94" s="17"/>
      <c r="AJ94" s="58"/>
    </row>
    <row r="95" spans="2:36" s="63" customFormat="1" ht="15.75" thickTop="1" x14ac:dyDescent="0.25">
      <c r="AI95" s="58"/>
    </row>
    <row r="96" spans="2:36" s="63" customFormat="1" x14ac:dyDescent="0.25">
      <c r="AI96" s="58"/>
    </row>
    <row r="97" spans="4:35" s="63" customFormat="1" x14ac:dyDescent="0.25">
      <c r="J97" s="40"/>
      <c r="AI97" s="58"/>
    </row>
    <row r="101" spans="4:35" ht="18.75" x14ac:dyDescent="0.25">
      <c r="D101" s="74" t="s">
        <v>144</v>
      </c>
      <c r="E101" s="75" t="str">
        <f>A1</f>
        <v>C&amp;T: Delegated</v>
      </c>
    </row>
    <row r="102" spans="4:35" ht="20.25" customHeight="1" x14ac:dyDescent="0.25">
      <c r="D102" s="76" t="s">
        <v>49</v>
      </c>
      <c r="E102" s="42">
        <f>tblSummaryCash64[[#Totals],[(HIDDEN)2]]</f>
        <v>450000</v>
      </c>
    </row>
    <row r="103" spans="4:35" ht="15.75" hidden="1" customHeight="1" x14ac:dyDescent="0.25">
      <c r="D103" s="77" t="s">
        <v>142</v>
      </c>
      <c r="E103" s="77" t="s">
        <v>143</v>
      </c>
      <c r="AG103" s="58"/>
      <c r="AI103" s="40"/>
    </row>
    <row r="104" spans="4:35" ht="18.75" x14ac:dyDescent="0.25">
      <c r="D104" s="78" t="s">
        <v>47</v>
      </c>
      <c r="E104" s="79">
        <f>PERSONNEL_REGULAR62[[#Totals],[Total Yearly Personnel Expense]]+PERSONNEL_CONTRACTUAL63[[#Totals],[Total Yearly Personnel Expense]]</f>
        <v>0</v>
      </c>
      <c r="G104" s="87"/>
      <c r="AG104" s="58"/>
      <c r="AI104" s="40"/>
    </row>
    <row r="105" spans="4:35" s="81" customFormat="1" ht="18.75" x14ac:dyDescent="0.25">
      <c r="D105" s="78" t="s">
        <v>82</v>
      </c>
      <c r="E105" s="80">
        <f>SUM(
SUBTOTAL(109,OPEX_COSTS59[Total Annual Cost]),
SUBTOTAL(109,OTHER_COST60[Total Annual Cost])
)</f>
        <v>450000</v>
      </c>
      <c r="AG105" s="58"/>
    </row>
    <row r="106" spans="4:35" s="81" customFormat="1" ht="18.75" hidden="1" x14ac:dyDescent="0.25">
      <c r="D106" s="82" t="s">
        <v>141</v>
      </c>
      <c r="E106" s="83">
        <f>PERSONNEL_REGULAR62[[#Totals],[Total Yearly Personnel Expense]]+PERSONNEL_CONTRACTUAL63[[#Totals],[Total Yearly Personnel Expense]]+SUBTOTAL(109,OPEX_COSTS59[Total Annual Cost])+
SUBTOTAL(109,OTHER_COST60[Total Annual Cost])</f>
        <v>450000</v>
      </c>
      <c r="AG106" s="58" t="s">
        <v>120</v>
      </c>
    </row>
    <row r="107" spans="4:35" hidden="1" x14ac:dyDescent="0.25">
      <c r="D107" s="84" t="s">
        <v>142</v>
      </c>
      <c r="E107" s="84" t="s">
        <v>143</v>
      </c>
    </row>
    <row r="108" spans="4:35" ht="18.75" x14ac:dyDescent="0.25">
      <c r="D108" s="76" t="s">
        <v>48</v>
      </c>
      <c r="E108" s="42">
        <f>DEPRECIATION61[[#Totals],[Total Depreciation]]</f>
        <v>0</v>
      </c>
      <c r="AI108" s="58" t="s">
        <v>156</v>
      </c>
    </row>
    <row r="109" spans="4:35" ht="18.75" hidden="1" x14ac:dyDescent="0.25">
      <c r="D109" s="85" t="s">
        <v>141</v>
      </c>
      <c r="E109" s="39">
        <f>SUBTOTAL(109,tblSummaryNonCash65[(HIDDEN)2])</f>
        <v>0</v>
      </c>
    </row>
    <row r="110" spans="4:35" x14ac:dyDescent="0.25">
      <c r="D110" s="41"/>
      <c r="E110" s="41">
        <f>tblSummaryCash64[[#Totals],[(HIDDEN)2]]+tblSummaryNonCash65[[#Totals],[(HIDDEN)2]]</f>
        <v>450000</v>
      </c>
    </row>
    <row r="112" spans="4:35" ht="11.25" customHeight="1" x14ac:dyDescent="0.25"/>
  </sheetData>
  <mergeCells count="5">
    <mergeCell ref="A2:C2"/>
    <mergeCell ref="A3:C3"/>
    <mergeCell ref="D7:P7"/>
    <mergeCell ref="D23:P23"/>
    <mergeCell ref="A1:D1"/>
  </mergeCells>
  <dataValidations count="1">
    <dataValidation type="list" allowBlank="1" showInputMessage="1" showErrorMessage="1" sqref="F2" xr:uid="{C7D87D56-BE29-45A1-8A58-517D6DCA8339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InsertRowAboveTableEnd">
                <anchor moveWithCells="1" sizeWithCells="1">
                  <from>
                    <xdr:col>6</xdr:col>
                    <xdr:colOff>447675</xdr:colOff>
                    <xdr:row>0</xdr:row>
                    <xdr:rowOff>180975</xdr:rowOff>
                  </from>
                  <to>
                    <xdr:col>7</xdr:col>
                    <xdr:colOff>962025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Save_tblSummary_ToDB">
                <anchor moveWithCells="1" sizeWithCells="1">
                  <from>
                    <xdr:col>7</xdr:col>
                    <xdr:colOff>1295400</xdr:colOff>
                    <xdr:row>0</xdr:row>
                    <xdr:rowOff>171450</xdr:rowOff>
                  </from>
                  <to>
                    <xdr:col>8</xdr:col>
                    <xdr:colOff>1524000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E6D06D-DEF4-4B05-8889-DA6CE10A1752}">
          <x14:formula1>
            <xm:f>Master_Input!$B$92:$B$93</xm:f>
          </x14:formula1>
          <xm:sqref>L87:L93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219B-5537-459C-8C65-61090338ED42}">
  <sheetPr codeName="Sheet15">
    <tabColor theme="5" tint="-0.249977111117893"/>
  </sheetPr>
  <dimension ref="A1:BH103"/>
  <sheetViews>
    <sheetView topLeftCell="C5" zoomScale="70" zoomScaleNormal="70" workbookViewId="0">
      <selection activeCell="L9" sqref="L9"/>
    </sheetView>
  </sheetViews>
  <sheetFormatPr defaultRowHeight="18" customHeight="1" x14ac:dyDescent="0.25"/>
  <cols>
    <col min="1" max="1" width="4.28515625" style="34" customWidth="1"/>
    <col min="2" max="2" width="59.5703125" style="34" customWidth="1"/>
    <col min="3" max="3" width="27.85546875" style="34" customWidth="1"/>
    <col min="4" max="4" width="15.42578125" style="89" customWidth="1"/>
    <col min="5" max="5" width="5.28515625" style="34" customWidth="1"/>
    <col min="6" max="6" width="7.42578125" style="34" customWidth="1"/>
    <col min="7" max="7" width="48.7109375" style="34" customWidth="1"/>
    <col min="8" max="8" width="27" style="34" customWidth="1"/>
    <col min="9" max="9" width="26" style="34" customWidth="1"/>
    <col min="10" max="10" width="5.140625" style="89" customWidth="1"/>
    <col min="11" max="11" width="4.85546875" style="34" customWidth="1"/>
    <col min="12" max="12" width="1.7109375" style="34" customWidth="1"/>
    <col min="13" max="13" width="69.140625" style="34" customWidth="1"/>
    <col min="14" max="14" width="12.5703125" style="34" customWidth="1"/>
    <col min="15" max="15" width="16.42578125" style="34" customWidth="1"/>
    <col min="16" max="16" width="22.7109375" style="34" customWidth="1"/>
    <col min="17" max="17" width="42.85546875" style="34" customWidth="1"/>
    <col min="18" max="18" width="17.7109375" style="34" customWidth="1"/>
    <col min="19" max="53" width="9.140625" style="34"/>
    <col min="54" max="55" width="9.140625" style="215"/>
    <col min="56" max="57" width="9.140625" style="34"/>
    <col min="58" max="58" width="26.85546875" style="214" customWidth="1"/>
    <col min="59" max="59" width="18.85546875" style="213" customWidth="1"/>
    <col min="60" max="16384" width="9.140625" style="34"/>
  </cols>
  <sheetData>
    <row r="1" spans="2:60" s="304" customFormat="1" ht="18" customHeight="1" x14ac:dyDescent="0.25">
      <c r="D1" s="305"/>
      <c r="J1" s="305"/>
      <c r="BF1" s="306" t="s">
        <v>211</v>
      </c>
      <c r="BG1" s="306" t="s">
        <v>211</v>
      </c>
    </row>
    <row r="2" spans="2:60" s="304" customFormat="1" ht="26.25" customHeight="1" x14ac:dyDescent="0.25">
      <c r="B2" s="307" t="s">
        <v>317</v>
      </c>
      <c r="C2" s="307"/>
      <c r="D2" s="307"/>
      <c r="E2" s="307"/>
      <c r="F2" s="307"/>
      <c r="G2" s="307"/>
      <c r="J2" s="305"/>
      <c r="BF2" s="306" t="s">
        <v>211</v>
      </c>
      <c r="BG2" s="306" t="s">
        <v>211</v>
      </c>
    </row>
    <row r="3" spans="2:60" s="304" customFormat="1" ht="27.75" customHeight="1" x14ac:dyDescent="0.25">
      <c r="B3" s="308" t="s">
        <v>238</v>
      </c>
      <c r="C3" s="309" t="s">
        <v>384</v>
      </c>
      <c r="D3" s="305"/>
      <c r="J3" s="305"/>
      <c r="BF3" s="310"/>
      <c r="BG3" s="306"/>
    </row>
    <row r="4" spans="2:60" s="304" customFormat="1" ht="27.75" customHeight="1" x14ac:dyDescent="0.25">
      <c r="B4" s="308" t="s">
        <v>239</v>
      </c>
      <c r="C4" s="309" t="s">
        <v>241</v>
      </c>
      <c r="D4" s="305"/>
      <c r="J4" s="305"/>
      <c r="BF4" s="310"/>
      <c r="BG4" s="306"/>
    </row>
    <row r="5" spans="2:60" s="304" customFormat="1" ht="18" customHeight="1" x14ac:dyDescent="0.25">
      <c r="D5" s="305"/>
      <c r="J5" s="305"/>
      <c r="BF5" s="310"/>
      <c r="BG5" s="306"/>
    </row>
    <row r="6" spans="2:60" ht="18" customHeight="1" x14ac:dyDescent="0.25">
      <c r="BF6" s="214" t="s">
        <v>219</v>
      </c>
      <c r="BG6" s="213">
        <v>0</v>
      </c>
      <c r="BH6" s="34">
        <v>1441470.9345</v>
      </c>
    </row>
    <row r="7" spans="2:60" ht="18" customHeight="1" x14ac:dyDescent="0.25">
      <c r="BF7" s="214" t="s">
        <v>217</v>
      </c>
      <c r="BG7" s="213">
        <v>0</v>
      </c>
      <c r="BH7" s="34">
        <v>1451470.9345</v>
      </c>
    </row>
    <row r="8" spans="2:60" ht="18" customHeight="1" x14ac:dyDescent="0.25">
      <c r="BG8" s="213">
        <v>0</v>
      </c>
    </row>
    <row r="9" spans="2:60" ht="20.25" customHeight="1" x14ac:dyDescent="0.25">
      <c r="BG9" s="213">
        <v>0</v>
      </c>
    </row>
    <row r="10" spans="2:60" ht="20.25" customHeight="1" thickBot="1" x14ac:dyDescent="0.3">
      <c r="G10" s="110"/>
      <c r="M10" s="202" t="s">
        <v>314</v>
      </c>
      <c r="N10" s="196" t="s">
        <v>241</v>
      </c>
      <c r="O10" s="197" t="s">
        <v>275</v>
      </c>
    </row>
    <row r="11" spans="2:60" ht="20.25" customHeight="1" thickTop="1" x14ac:dyDescent="0.35">
      <c r="M11" s="193"/>
      <c r="N11" s="194"/>
      <c r="O11" s="195"/>
    </row>
    <row r="12" spans="2:60" ht="20.25" customHeight="1" x14ac:dyDescent="0.3">
      <c r="M12" s="198" t="s">
        <v>451</v>
      </c>
      <c r="N12" s="254"/>
      <c r="O12" s="254"/>
    </row>
    <row r="13" spans="2:60" ht="20.25" customHeight="1" x14ac:dyDescent="0.3">
      <c r="K13" s="105"/>
      <c r="M13" s="199" t="s">
        <v>312</v>
      </c>
      <c r="N13" s="255">
        <v>66666.666666666672</v>
      </c>
      <c r="O13" s="255"/>
      <c r="P13" s="34" t="e">
        <v>#REF!</v>
      </c>
    </row>
    <row r="14" spans="2:60" ht="20.25" customHeight="1" x14ac:dyDescent="0.3">
      <c r="K14" s="105"/>
      <c r="M14" s="199" t="s">
        <v>313</v>
      </c>
      <c r="N14" s="255">
        <v>0.26744670191151426</v>
      </c>
      <c r="O14" s="255"/>
      <c r="P14" s="34" t="e">
        <v>#REF!</v>
      </c>
    </row>
    <row r="15" spans="2:60" ht="20.25" customHeight="1" x14ac:dyDescent="0.3">
      <c r="K15" s="105"/>
      <c r="M15" s="199" t="s">
        <v>276</v>
      </c>
      <c r="N15" s="258">
        <v>66666.399219964762</v>
      </c>
      <c r="O15" s="258"/>
      <c r="P15" s="34" t="e">
        <v>#REF!</v>
      </c>
    </row>
    <row r="16" spans="2:60" ht="20.25" customHeight="1" x14ac:dyDescent="0.3">
      <c r="M16" s="191"/>
      <c r="N16" s="191"/>
      <c r="O16" s="192"/>
    </row>
    <row r="17" spans="2:17" ht="20.25" customHeight="1" x14ac:dyDescent="0.3">
      <c r="M17" s="198" t="s">
        <v>452</v>
      </c>
      <c r="N17" s="199"/>
      <c r="O17" s="200"/>
    </row>
    <row r="18" spans="2:17" ht="20.25" customHeight="1" x14ac:dyDescent="0.3">
      <c r="M18" s="199" t="s">
        <v>312</v>
      </c>
      <c r="N18" s="256">
        <v>33.333333333333336</v>
      </c>
      <c r="O18" s="256"/>
      <c r="P18" s="303" t="s">
        <v>454</v>
      </c>
    </row>
    <row r="19" spans="2:17" ht="20.25" customHeight="1" x14ac:dyDescent="0.3">
      <c r="M19" s="199" t="s">
        <v>313</v>
      </c>
      <c r="N19" s="256">
        <v>0</v>
      </c>
      <c r="O19" s="256"/>
      <c r="P19" s="303" t="s">
        <v>455</v>
      </c>
    </row>
    <row r="20" spans="2:17" ht="20.25" customHeight="1" x14ac:dyDescent="0.3">
      <c r="M20" s="199" t="s">
        <v>276</v>
      </c>
      <c r="N20" s="257">
        <v>33.333333333333336</v>
      </c>
      <c r="O20" s="257"/>
    </row>
    <row r="21" spans="2:17" ht="20.25" customHeight="1" x14ac:dyDescent="0.3">
      <c r="M21" s="191"/>
      <c r="N21" s="191"/>
      <c r="O21" s="201"/>
    </row>
    <row r="23" spans="2:17" ht="18" customHeight="1" x14ac:dyDescent="0.25">
      <c r="M23" s="260" t="s">
        <v>330</v>
      </c>
      <c r="N23" s="260"/>
      <c r="O23" s="260"/>
    </row>
    <row r="24" spans="2:17" ht="18" customHeight="1" x14ac:dyDescent="0.25">
      <c r="M24" s="35" t="s">
        <v>464</v>
      </c>
      <c r="N24" s="35" t="s">
        <v>460</v>
      </c>
      <c r="O24" s="92">
        <v>63.512326680340593</v>
      </c>
      <c r="P24" s="303" t="s">
        <v>456</v>
      </c>
    </row>
    <row r="25" spans="2:17" ht="18" customHeight="1" x14ac:dyDescent="0.25">
      <c r="M25" s="35" t="s">
        <v>465</v>
      </c>
      <c r="N25" s="35" t="s">
        <v>460</v>
      </c>
      <c r="O25" s="92">
        <v>42.542224510361152</v>
      </c>
      <c r="P25" s="303" t="s">
        <v>455</v>
      </c>
    </row>
    <row r="26" spans="2:17" ht="18" customHeight="1" x14ac:dyDescent="0.25">
      <c r="M26" s="35" t="s">
        <v>459</v>
      </c>
      <c r="N26" s="35" t="s">
        <v>461</v>
      </c>
      <c r="O26" s="92">
        <v>600.61288937500001</v>
      </c>
      <c r="P26" s="303" t="s">
        <v>457</v>
      </c>
    </row>
    <row r="27" spans="2:17" ht="18" customHeight="1" x14ac:dyDescent="0.25">
      <c r="M27" s="35" t="s">
        <v>466</v>
      </c>
      <c r="N27" s="35" t="s">
        <v>462</v>
      </c>
      <c r="O27" s="92">
        <v>0.1317968022800847</v>
      </c>
      <c r="P27" s="303" t="s">
        <v>463</v>
      </c>
    </row>
    <row r="30" spans="2:17" ht="18" customHeight="1" x14ac:dyDescent="0.25">
      <c r="D30" s="34"/>
    </row>
    <row r="31" spans="2:17" ht="18" customHeight="1" x14ac:dyDescent="0.25">
      <c r="B31" s="252" t="s">
        <v>42</v>
      </c>
      <c r="C31" s="252"/>
      <c r="D31" s="252"/>
      <c r="G31" s="259" t="s">
        <v>134</v>
      </c>
      <c r="H31" s="259"/>
      <c r="I31" s="259"/>
      <c r="J31" s="206"/>
      <c r="M31" s="261" t="s">
        <v>234</v>
      </c>
      <c r="N31" s="261"/>
      <c r="O31" s="261"/>
      <c r="P31" s="206"/>
      <c r="Q31" s="206"/>
    </row>
    <row r="32" spans="2:17" ht="18" customHeight="1" x14ac:dyDescent="0.25">
      <c r="B32" s="252"/>
      <c r="C32" s="252"/>
      <c r="D32" s="252"/>
      <c r="G32" s="259"/>
      <c r="H32" s="259"/>
      <c r="I32" s="259"/>
      <c r="J32" s="206"/>
      <c r="M32" s="261"/>
      <c r="N32" s="261"/>
      <c r="O32" s="261"/>
      <c r="P32" s="206"/>
      <c r="Q32" s="206"/>
    </row>
    <row r="33" spans="1:59" ht="18" customHeight="1" x14ac:dyDescent="0.25">
      <c r="B33" s="118"/>
      <c r="C33" s="107" t="s">
        <v>241</v>
      </c>
      <c r="D33" s="109" t="s">
        <v>147</v>
      </c>
      <c r="G33" s="118"/>
      <c r="H33" s="107" t="s">
        <v>241</v>
      </c>
      <c r="I33" s="108" t="s">
        <v>147</v>
      </c>
      <c r="J33" s="205"/>
      <c r="M33" s="108" t="s">
        <v>235</v>
      </c>
      <c r="N33" s="108" t="s">
        <v>43</v>
      </c>
      <c r="O33" s="108" t="s">
        <v>38</v>
      </c>
      <c r="AZ33" s="215"/>
      <c r="BA33" s="215"/>
      <c r="BB33" s="34"/>
      <c r="BC33" s="34"/>
      <c r="BD33" s="214"/>
      <c r="BE33" s="213"/>
      <c r="BF33" s="34"/>
      <c r="BG33" s="34"/>
    </row>
    <row r="34" spans="1:59" ht="18" customHeight="1" x14ac:dyDescent="0.25">
      <c r="B34" s="119" t="s">
        <v>132</v>
      </c>
      <c r="C34" s="112" t="s">
        <v>208</v>
      </c>
      <c r="D34" s="95" t="s">
        <v>152</v>
      </c>
      <c r="G34" s="119" t="s">
        <v>209</v>
      </c>
      <c r="H34" s="114" t="s">
        <v>257</v>
      </c>
      <c r="I34" s="98" t="s">
        <v>210</v>
      </c>
      <c r="M34" s="245" t="s">
        <v>332</v>
      </c>
      <c r="N34" s="123" t="s">
        <v>333</v>
      </c>
      <c r="O34" s="190">
        <v>1.5</v>
      </c>
      <c r="AY34" s="180"/>
      <c r="AZ34" s="215"/>
      <c r="BA34" s="215"/>
      <c r="BB34" s="34"/>
      <c r="BC34" s="34"/>
      <c r="BD34" s="213"/>
      <c r="BE34" s="214"/>
      <c r="BF34" s="34"/>
      <c r="BG34" s="34"/>
    </row>
    <row r="35" spans="1:59" ht="18" customHeight="1" x14ac:dyDescent="0.25">
      <c r="B35" s="101" t="s">
        <v>102</v>
      </c>
      <c r="C35" s="113">
        <v>100000</v>
      </c>
      <c r="D35" s="97">
        <v>0.161277316345456</v>
      </c>
      <c r="G35" s="35" t="s">
        <v>450</v>
      </c>
      <c r="H35" s="91">
        <v>450000</v>
      </c>
      <c r="I35" s="293">
        <v>0.31218111252176622</v>
      </c>
      <c r="M35" s="244" t="s">
        <v>334</v>
      </c>
      <c r="N35" s="123"/>
      <c r="O35" s="190"/>
      <c r="AY35" s="180"/>
      <c r="AZ35" s="215"/>
      <c r="BA35" s="215"/>
      <c r="BB35" s="34"/>
      <c r="BC35" s="34"/>
      <c r="BD35" s="213"/>
      <c r="BE35" s="214"/>
      <c r="BF35" s="34"/>
      <c r="BG35" s="34"/>
    </row>
    <row r="36" spans="1:59" ht="18" customHeight="1" x14ac:dyDescent="0.25">
      <c r="A36" s="35"/>
      <c r="B36" s="101" t="s">
        <v>125</v>
      </c>
      <c r="C36" s="113">
        <v>50</v>
      </c>
      <c r="D36" s="97">
        <v>8.0638658172728012E-5</v>
      </c>
      <c r="G36" s="35" t="s">
        <v>83</v>
      </c>
      <c r="H36" s="91">
        <v>24652.2</v>
      </c>
      <c r="I36" s="293">
        <v>1.7102113826909078E-2</v>
      </c>
      <c r="M36" s="243" t="s">
        <v>236</v>
      </c>
      <c r="N36" s="123" t="s">
        <v>305</v>
      </c>
      <c r="O36" s="190">
        <v>3326</v>
      </c>
      <c r="AZ36" s="215"/>
      <c r="BA36" s="215"/>
      <c r="BB36" s="34"/>
      <c r="BC36" s="34"/>
      <c r="BD36" s="214"/>
      <c r="BE36" s="213"/>
      <c r="BF36" s="34"/>
      <c r="BG36" s="34"/>
    </row>
    <row r="37" spans="1:59" ht="18" customHeight="1" x14ac:dyDescent="0.25">
      <c r="B37" s="101" t="s">
        <v>253</v>
      </c>
      <c r="C37" s="113">
        <v>20000</v>
      </c>
      <c r="D37" s="97">
        <v>3.2255463269091206E-2</v>
      </c>
      <c r="G37" s="35" t="s">
        <v>87</v>
      </c>
      <c r="H37" s="91">
        <v>578274.97100000002</v>
      </c>
      <c r="I37" s="293">
        <v>0.40117005286727137</v>
      </c>
      <c r="M37" s="243" t="s">
        <v>237</v>
      </c>
      <c r="N37" s="123" t="s">
        <v>305</v>
      </c>
      <c r="O37" s="190">
        <v>16630</v>
      </c>
      <c r="AZ37" s="215"/>
      <c r="BA37" s="215"/>
      <c r="BB37" s="34"/>
      <c r="BC37" s="34"/>
      <c r="BD37" s="214"/>
      <c r="BE37" s="213"/>
      <c r="BF37" s="34"/>
      <c r="BG37" s="34"/>
    </row>
    <row r="38" spans="1:59" ht="18" customHeight="1" x14ac:dyDescent="0.25">
      <c r="B38" s="101" t="s">
        <v>198</v>
      </c>
      <c r="C38" s="113">
        <v>120050</v>
      </c>
      <c r="D38" s="216">
        <v>0.19361341827271994</v>
      </c>
      <c r="G38" s="35" t="s">
        <v>88</v>
      </c>
      <c r="H38" s="91">
        <v>387343.7635</v>
      </c>
      <c r="I38" s="293">
        <v>0.26871423781732867</v>
      </c>
      <c r="M38" s="243" t="s">
        <v>335</v>
      </c>
      <c r="N38" s="123" t="s">
        <v>246</v>
      </c>
      <c r="O38" s="190">
        <v>9104.9249999999993</v>
      </c>
      <c r="P38" s="105"/>
      <c r="AZ38" s="215"/>
      <c r="BA38" s="215"/>
      <c r="BB38" s="34"/>
      <c r="BC38" s="34"/>
      <c r="BD38" s="214"/>
      <c r="BE38" s="213"/>
      <c r="BF38" s="34"/>
      <c r="BG38" s="34"/>
    </row>
    <row r="39" spans="1:59" ht="18" customHeight="1" x14ac:dyDescent="0.25">
      <c r="B39" s="119" t="s">
        <v>133</v>
      </c>
      <c r="C39" s="112" t="s">
        <v>208</v>
      </c>
      <c r="D39" s="95" t="s">
        <v>152</v>
      </c>
      <c r="G39" s="35" t="s">
        <v>89</v>
      </c>
      <c r="H39" s="91">
        <v>1200</v>
      </c>
      <c r="I39" s="293">
        <v>8.3248296672470989E-4</v>
      </c>
      <c r="M39" s="243" t="s">
        <v>336</v>
      </c>
      <c r="N39" s="123" t="s">
        <v>331</v>
      </c>
      <c r="O39" s="190">
        <v>1200</v>
      </c>
      <c r="P39" s="105"/>
      <c r="AZ39" s="215"/>
      <c r="BA39" s="215"/>
      <c r="BB39" s="34"/>
      <c r="BC39" s="34"/>
      <c r="BD39" s="214"/>
      <c r="BE39" s="213"/>
      <c r="BF39" s="34"/>
      <c r="BG39" s="34"/>
    </row>
    <row r="40" spans="1:59" ht="18" customHeight="1" x14ac:dyDescent="0.25">
      <c r="B40" s="102" t="s">
        <v>430</v>
      </c>
      <c r="C40" s="99">
        <v>500000</v>
      </c>
      <c r="D40" s="97">
        <v>0.80638658172728006</v>
      </c>
      <c r="G40" s="35" t="s">
        <v>218</v>
      </c>
      <c r="H40" s="91">
        <v>1441470.9345</v>
      </c>
      <c r="I40" s="94">
        <v>0.99999999999999989</v>
      </c>
      <c r="M40" s="246" t="s">
        <v>337</v>
      </c>
      <c r="N40" s="123" t="s">
        <v>338</v>
      </c>
      <c r="O40" s="190">
        <v>13.858333333333333</v>
      </c>
      <c r="P40" s="105"/>
      <c r="AZ40" s="215"/>
      <c r="BA40" s="215"/>
      <c r="BB40" s="34"/>
      <c r="BC40" s="34"/>
      <c r="BD40" s="214"/>
      <c r="BE40" s="213"/>
      <c r="BF40" s="34"/>
      <c r="BG40" s="34"/>
    </row>
    <row r="41" spans="1:59" ht="18" customHeight="1" x14ac:dyDescent="0.25">
      <c r="B41" s="102" t="s">
        <v>198</v>
      </c>
      <c r="C41" s="99">
        <v>500000</v>
      </c>
      <c r="D41" s="96">
        <v>0.80638658172728006</v>
      </c>
      <c r="M41" s="242" t="s">
        <v>339</v>
      </c>
      <c r="N41" s="123"/>
      <c r="O41" s="190"/>
      <c r="P41" s="105"/>
      <c r="AZ41" s="215"/>
      <c r="BA41" s="215"/>
      <c r="BB41" s="34"/>
      <c r="BC41" s="34"/>
      <c r="BD41" s="214"/>
      <c r="BE41" s="213"/>
      <c r="BF41" s="34"/>
      <c r="BG41" s="34"/>
    </row>
    <row r="42" spans="1:59" ht="18" customHeight="1" x14ac:dyDescent="0.25">
      <c r="B42" s="102"/>
      <c r="C42" s="93"/>
      <c r="D42" s="96"/>
      <c r="G42" s="119" t="s">
        <v>217</v>
      </c>
      <c r="H42" s="120" t="s">
        <v>152</v>
      </c>
      <c r="I42" s="106" t="s">
        <v>126</v>
      </c>
      <c r="M42" s="246" t="s">
        <v>340</v>
      </c>
      <c r="N42" s="123" t="s">
        <v>246</v>
      </c>
      <c r="O42" s="190">
        <v>4397</v>
      </c>
      <c r="P42" s="105"/>
      <c r="AZ42" s="215"/>
      <c r="BA42" s="215"/>
      <c r="BB42" s="34"/>
      <c r="BC42" s="34"/>
      <c r="BD42" s="214"/>
      <c r="BE42" s="213"/>
      <c r="BF42" s="34"/>
      <c r="BG42" s="34"/>
    </row>
    <row r="43" spans="1:59" ht="18" customHeight="1" x14ac:dyDescent="0.25">
      <c r="B43" s="115" t="s">
        <v>221</v>
      </c>
      <c r="C43" s="116" t="s">
        <v>127</v>
      </c>
      <c r="D43" s="117" t="s">
        <v>177</v>
      </c>
      <c r="G43" s="93" t="s">
        <v>49</v>
      </c>
      <c r="H43" s="211">
        <v>1441470.9345</v>
      </c>
      <c r="I43" s="96"/>
      <c r="M43" s="246" t="s">
        <v>341</v>
      </c>
      <c r="N43" s="123" t="s">
        <v>246</v>
      </c>
      <c r="O43" s="190">
        <v>0</v>
      </c>
      <c r="AZ43" s="215"/>
      <c r="BA43" s="215"/>
      <c r="BB43" s="34"/>
      <c r="BC43" s="34"/>
      <c r="BD43" s="214"/>
      <c r="BE43" s="213"/>
      <c r="BF43" s="34"/>
      <c r="BG43" s="34"/>
    </row>
    <row r="44" spans="1:59" ht="18" customHeight="1" x14ac:dyDescent="0.25">
      <c r="B44" s="104" t="s">
        <v>124</v>
      </c>
      <c r="C44" s="121">
        <v>620050</v>
      </c>
      <c r="D44" s="122">
        <v>1</v>
      </c>
      <c r="G44" s="99" t="s">
        <v>212</v>
      </c>
      <c r="H44" s="210">
        <v>319851.70450000005</v>
      </c>
      <c r="I44" s="207">
        <v>0.22036383705484394</v>
      </c>
      <c r="M44" s="246" t="s">
        <v>342</v>
      </c>
      <c r="N44" s="123" t="s">
        <v>246</v>
      </c>
      <c r="O44" s="190">
        <v>0</v>
      </c>
      <c r="AZ44" s="215"/>
      <c r="BA44" s="215"/>
      <c r="BB44" s="34"/>
      <c r="BC44" s="34"/>
      <c r="BD44" s="214"/>
      <c r="BE44" s="213"/>
      <c r="BF44" s="34"/>
      <c r="BG44" s="34"/>
    </row>
    <row r="45" spans="1:59" ht="18" customHeight="1" x14ac:dyDescent="0.25">
      <c r="B45" s="104" t="s">
        <v>220</v>
      </c>
      <c r="C45" s="186">
        <v>-821420.93449999997</v>
      </c>
      <c r="D45" s="187">
        <v>-1.324765639061366</v>
      </c>
      <c r="G45" s="99" t="s">
        <v>213</v>
      </c>
      <c r="H45" s="210">
        <v>1121619.23</v>
      </c>
      <c r="I45" s="207">
        <v>0.7727466002523663</v>
      </c>
      <c r="M45" s="242" t="s">
        <v>343</v>
      </c>
      <c r="N45" s="123"/>
      <c r="O45" s="190"/>
      <c r="P45" s="105"/>
      <c r="AZ45" s="215"/>
      <c r="BA45" s="215"/>
      <c r="BB45" s="34"/>
      <c r="BC45" s="34"/>
      <c r="BD45" s="214"/>
      <c r="BE45" s="213"/>
      <c r="BF45" s="34"/>
      <c r="BG45" s="34"/>
    </row>
    <row r="46" spans="1:59" ht="18" customHeight="1" x14ac:dyDescent="0.25">
      <c r="B46" s="300" t="s">
        <v>432</v>
      </c>
      <c r="C46" s="300"/>
      <c r="D46" s="301"/>
      <c r="G46" s="93" t="s">
        <v>216</v>
      </c>
      <c r="H46" s="212">
        <v>10000</v>
      </c>
      <c r="I46" s="96"/>
      <c r="M46" s="246" t="s">
        <v>344</v>
      </c>
      <c r="N46" s="123" t="s">
        <v>305</v>
      </c>
      <c r="O46" s="190">
        <v>0</v>
      </c>
      <c r="P46" s="105"/>
      <c r="AZ46" s="215"/>
      <c r="BA46" s="215"/>
      <c r="BB46" s="34"/>
      <c r="BC46" s="34"/>
      <c r="BD46" s="214"/>
      <c r="BE46" s="213"/>
      <c r="BF46" s="34"/>
      <c r="BG46" s="34"/>
    </row>
    <row r="47" spans="1:59" ht="18" customHeight="1" thickBot="1" x14ac:dyDescent="0.3">
      <c r="D47" s="34"/>
      <c r="E47" s="183"/>
      <c r="G47" s="99" t="s">
        <v>214</v>
      </c>
      <c r="H47" s="210">
        <v>10000</v>
      </c>
      <c r="I47" s="207">
        <v>6.889562692789836E-3</v>
      </c>
      <c r="M47" s="246" t="s">
        <v>345</v>
      </c>
      <c r="N47" s="123" t="s">
        <v>305</v>
      </c>
      <c r="O47" s="190">
        <v>0</v>
      </c>
      <c r="AZ47" s="215"/>
      <c r="BA47" s="215"/>
      <c r="BB47" s="34"/>
      <c r="BC47" s="34"/>
      <c r="BD47" s="214"/>
      <c r="BE47" s="213"/>
      <c r="BF47" s="34"/>
      <c r="BG47" s="34"/>
    </row>
    <row r="48" spans="1:59" ht="18" customHeight="1" x14ac:dyDescent="0.25">
      <c r="D48" s="34"/>
      <c r="E48" s="183"/>
      <c r="G48" s="100" t="s">
        <v>215</v>
      </c>
      <c r="H48" s="208">
        <v>1451470.9345</v>
      </c>
      <c r="I48" s="209">
        <v>1</v>
      </c>
      <c r="M48" s="246" t="s">
        <v>346</v>
      </c>
      <c r="N48" s="123" t="s">
        <v>305</v>
      </c>
      <c r="O48" s="190">
        <v>0</v>
      </c>
      <c r="P48" s="105"/>
      <c r="BA48" s="215"/>
      <c r="BC48" s="34"/>
      <c r="BE48" s="214"/>
      <c r="BF48" s="213"/>
      <c r="BG48" s="34"/>
    </row>
    <row r="49" spans="4:59" ht="18" customHeight="1" x14ac:dyDescent="0.25">
      <c r="D49" s="34"/>
      <c r="E49" s="183"/>
      <c r="M49" s="246" t="s">
        <v>347</v>
      </c>
      <c r="N49" s="123" t="s">
        <v>305</v>
      </c>
      <c r="O49" s="190">
        <v>0</v>
      </c>
      <c r="P49" s="105"/>
      <c r="BA49" s="215"/>
      <c r="BC49" s="34"/>
      <c r="BE49" s="214"/>
      <c r="BF49" s="213"/>
      <c r="BG49" s="34"/>
    </row>
    <row r="50" spans="4:59" ht="18" customHeight="1" x14ac:dyDescent="0.25">
      <c r="D50" s="34"/>
      <c r="E50" s="183"/>
      <c r="M50" s="246" t="s">
        <v>348</v>
      </c>
      <c r="N50" s="123" t="s">
        <v>305</v>
      </c>
      <c r="O50" s="190">
        <v>0</v>
      </c>
      <c r="P50" s="105"/>
      <c r="BA50" s="215"/>
      <c r="BC50" s="34"/>
      <c r="BE50" s="214"/>
      <c r="BF50" s="213"/>
      <c r="BG50" s="34"/>
    </row>
    <row r="51" spans="4:59" ht="18" customHeight="1" x14ac:dyDescent="0.25">
      <c r="D51" s="34"/>
      <c r="E51" s="183"/>
      <c r="M51" s="246" t="s">
        <v>342</v>
      </c>
      <c r="N51" s="123" t="s">
        <v>305</v>
      </c>
      <c r="O51" s="190">
        <v>0</v>
      </c>
      <c r="P51" s="105"/>
      <c r="BA51" s="215"/>
      <c r="BC51" s="34"/>
      <c r="BE51" s="214"/>
      <c r="BF51" s="213"/>
      <c r="BG51" s="34"/>
    </row>
    <row r="52" spans="4:59" ht="18" customHeight="1" x14ac:dyDescent="0.25">
      <c r="D52" s="34"/>
      <c r="E52" s="183"/>
      <c r="M52" s="242" t="s">
        <v>349</v>
      </c>
      <c r="N52" s="123" t="s">
        <v>246</v>
      </c>
      <c r="O52" s="190">
        <v>0</v>
      </c>
      <c r="P52" s="105"/>
      <c r="AZ52" s="103"/>
      <c r="BA52" s="215"/>
      <c r="BC52" s="34"/>
      <c r="BE52" s="213"/>
      <c r="BG52" s="34"/>
    </row>
    <row r="53" spans="4:59" ht="18" customHeight="1" x14ac:dyDescent="0.25">
      <c r="D53" s="34"/>
      <c r="E53" s="183"/>
      <c r="M53" s="242" t="s">
        <v>350</v>
      </c>
      <c r="N53" s="123" t="s">
        <v>246</v>
      </c>
      <c r="O53" s="190">
        <v>0</v>
      </c>
      <c r="P53" s="105"/>
      <c r="AZ53" s="103"/>
      <c r="BA53" s="215"/>
      <c r="BC53" s="34"/>
      <c r="BE53" s="213"/>
      <c r="BG53" s="34"/>
    </row>
    <row r="54" spans="4:59" ht="18" customHeight="1" x14ac:dyDescent="0.25">
      <c r="D54" s="34"/>
      <c r="E54" s="183"/>
      <c r="M54" s="242" t="s">
        <v>240</v>
      </c>
      <c r="N54" s="123" t="s">
        <v>305</v>
      </c>
      <c r="O54" s="190">
        <v>2007</v>
      </c>
      <c r="P54" s="105"/>
      <c r="AZ54" s="103"/>
      <c r="BA54" s="215"/>
      <c r="BC54" s="34"/>
      <c r="BE54" s="213"/>
      <c r="BG54" s="34"/>
    </row>
    <row r="55" spans="4:59" ht="18" customHeight="1" x14ac:dyDescent="0.25">
      <c r="D55" s="34"/>
      <c r="E55" s="183"/>
      <c r="M55" s="242" t="s">
        <v>351</v>
      </c>
      <c r="N55" s="123" t="s">
        <v>305</v>
      </c>
      <c r="O55" s="190">
        <v>0</v>
      </c>
      <c r="AZ55" s="103"/>
      <c r="BA55" s="215"/>
      <c r="BC55" s="34"/>
      <c r="BE55" s="213"/>
      <c r="BG55" s="34"/>
    </row>
    <row r="56" spans="4:59" ht="18" customHeight="1" x14ac:dyDescent="0.25">
      <c r="D56" s="34"/>
      <c r="E56" s="183"/>
      <c r="M56" s="242" t="s">
        <v>352</v>
      </c>
      <c r="N56" s="123" t="s">
        <v>353</v>
      </c>
      <c r="O56" s="190">
        <v>0</v>
      </c>
      <c r="AZ56" s="103"/>
      <c r="BA56" s="215"/>
      <c r="BC56" s="34"/>
      <c r="BE56" s="213"/>
      <c r="BG56" s="34"/>
    </row>
    <row r="57" spans="4:59" ht="18" customHeight="1" x14ac:dyDescent="0.25">
      <c r="D57" s="34"/>
      <c r="M57" s="244" t="s">
        <v>354</v>
      </c>
      <c r="N57" s="123"/>
      <c r="O57" s="190"/>
      <c r="BA57" s="215"/>
      <c r="BC57" s="34"/>
      <c r="BE57" s="214"/>
      <c r="BF57" s="213"/>
      <c r="BG57" s="34"/>
    </row>
    <row r="58" spans="4:59" ht="18" customHeight="1" x14ac:dyDescent="0.25">
      <c r="M58" s="242" t="s">
        <v>236</v>
      </c>
      <c r="N58" s="123" t="s">
        <v>353</v>
      </c>
      <c r="O58" s="190">
        <v>0</v>
      </c>
      <c r="BA58" s="215"/>
      <c r="BC58" s="34"/>
      <c r="BE58" s="214"/>
      <c r="BF58" s="213"/>
      <c r="BG58" s="34"/>
    </row>
    <row r="59" spans="4:59" ht="18" customHeight="1" x14ac:dyDescent="0.25">
      <c r="M59" s="242" t="s">
        <v>237</v>
      </c>
      <c r="N59" s="123" t="s">
        <v>305</v>
      </c>
      <c r="O59" s="190">
        <v>1000</v>
      </c>
      <c r="BA59" s="215"/>
      <c r="BC59" s="34"/>
      <c r="BE59" s="214"/>
      <c r="BF59" s="213"/>
      <c r="BG59" s="34"/>
    </row>
    <row r="60" spans="4:59" ht="18" customHeight="1" x14ac:dyDescent="0.25">
      <c r="M60" s="242" t="s">
        <v>335</v>
      </c>
      <c r="N60" s="123" t="s">
        <v>246</v>
      </c>
      <c r="O60" s="190">
        <v>547.5</v>
      </c>
      <c r="BA60" s="215"/>
      <c r="BC60" s="34"/>
      <c r="BE60" s="214"/>
      <c r="BF60" s="213"/>
      <c r="BG60" s="34"/>
    </row>
    <row r="61" spans="4:59" ht="18" customHeight="1" x14ac:dyDescent="0.25">
      <c r="M61" s="242" t="s">
        <v>355</v>
      </c>
      <c r="N61" s="123" t="s">
        <v>331</v>
      </c>
      <c r="O61" s="190">
        <v>1200</v>
      </c>
      <c r="BA61" s="215"/>
      <c r="BC61" s="34"/>
      <c r="BE61" s="214"/>
      <c r="BF61" s="213"/>
      <c r="BG61" s="34"/>
    </row>
    <row r="62" spans="4:59" ht="18" customHeight="1" x14ac:dyDescent="0.25">
      <c r="M62" s="242" t="s">
        <v>337</v>
      </c>
      <c r="N62" s="123" t="s">
        <v>338</v>
      </c>
      <c r="O62" s="190">
        <v>0.83333333333333337</v>
      </c>
      <c r="BA62" s="215"/>
      <c r="BC62" s="34"/>
      <c r="BE62" s="214"/>
      <c r="BF62" s="213"/>
      <c r="BG62" s="34"/>
    </row>
    <row r="63" spans="4:59" ht="18" customHeight="1" x14ac:dyDescent="0.25">
      <c r="M63" s="242" t="s">
        <v>339</v>
      </c>
      <c r="N63" s="123"/>
      <c r="O63" s="190"/>
      <c r="BA63" s="215"/>
      <c r="BC63" s="34"/>
      <c r="BE63" s="214"/>
      <c r="BF63" s="213"/>
      <c r="BG63" s="34"/>
    </row>
    <row r="64" spans="4:59" ht="18" customHeight="1" x14ac:dyDescent="0.25">
      <c r="M64" s="243" t="s">
        <v>340</v>
      </c>
      <c r="N64" s="123" t="s">
        <v>246</v>
      </c>
      <c r="O64" s="190">
        <v>3572</v>
      </c>
      <c r="BA64" s="215"/>
      <c r="BC64" s="34"/>
      <c r="BE64" s="214"/>
      <c r="BF64" s="213"/>
      <c r="BG64" s="34"/>
    </row>
    <row r="65" spans="13:59" ht="18" customHeight="1" x14ac:dyDescent="0.25">
      <c r="M65" s="243" t="s">
        <v>341</v>
      </c>
      <c r="N65" s="123" t="s">
        <v>246</v>
      </c>
      <c r="O65" s="190">
        <v>0</v>
      </c>
      <c r="BA65" s="215"/>
      <c r="BC65" s="34"/>
      <c r="BE65" s="214"/>
      <c r="BF65" s="213"/>
      <c r="BG65" s="34"/>
    </row>
    <row r="66" spans="13:59" ht="18" customHeight="1" x14ac:dyDescent="0.25">
      <c r="M66" s="243" t="s">
        <v>342</v>
      </c>
      <c r="N66" s="123" t="s">
        <v>246</v>
      </c>
      <c r="O66" s="190">
        <v>966</v>
      </c>
      <c r="BA66" s="215"/>
      <c r="BC66" s="34"/>
      <c r="BE66" s="214"/>
      <c r="BF66" s="213"/>
      <c r="BG66" s="34"/>
    </row>
    <row r="67" spans="13:59" ht="18" customHeight="1" x14ac:dyDescent="0.25">
      <c r="M67" s="242" t="s">
        <v>343</v>
      </c>
      <c r="N67" s="123"/>
      <c r="O67" s="190"/>
      <c r="BA67" s="215"/>
      <c r="BC67" s="34"/>
      <c r="BE67" s="214"/>
      <c r="BF67" s="213"/>
      <c r="BG67" s="34"/>
    </row>
    <row r="68" spans="13:59" ht="18" customHeight="1" x14ac:dyDescent="0.25">
      <c r="M68" s="243" t="s">
        <v>344</v>
      </c>
      <c r="N68" s="123" t="s">
        <v>305</v>
      </c>
      <c r="O68" s="190">
        <v>3491</v>
      </c>
      <c r="BA68" s="215"/>
      <c r="BC68" s="34"/>
      <c r="BE68" s="214"/>
      <c r="BF68" s="213"/>
      <c r="BG68" s="34"/>
    </row>
    <row r="69" spans="13:59" ht="18" customHeight="1" x14ac:dyDescent="0.25">
      <c r="M69" s="243" t="s">
        <v>345</v>
      </c>
      <c r="N69" s="123" t="s">
        <v>305</v>
      </c>
      <c r="O69" s="190">
        <v>2620</v>
      </c>
      <c r="BA69" s="215"/>
      <c r="BC69" s="34"/>
      <c r="BE69" s="214"/>
      <c r="BF69" s="213"/>
      <c r="BG69" s="34"/>
    </row>
    <row r="70" spans="13:59" ht="18" customHeight="1" x14ac:dyDescent="0.25">
      <c r="M70" s="243" t="s">
        <v>346</v>
      </c>
      <c r="N70" s="123" t="s">
        <v>305</v>
      </c>
      <c r="O70" s="190">
        <v>633</v>
      </c>
      <c r="BA70" s="215"/>
      <c r="BC70" s="34"/>
      <c r="BE70" s="214"/>
      <c r="BF70" s="213"/>
      <c r="BG70" s="34"/>
    </row>
    <row r="71" spans="13:59" ht="18" customHeight="1" x14ac:dyDescent="0.25">
      <c r="M71" s="243" t="s">
        <v>347</v>
      </c>
      <c r="N71" s="123" t="s">
        <v>305</v>
      </c>
      <c r="O71" s="190">
        <v>0</v>
      </c>
      <c r="BA71" s="215"/>
      <c r="BC71" s="34"/>
      <c r="BE71" s="214"/>
      <c r="BF71" s="213"/>
      <c r="BG71" s="34"/>
    </row>
    <row r="72" spans="13:59" ht="18" customHeight="1" x14ac:dyDescent="0.25">
      <c r="M72" s="243" t="s">
        <v>348</v>
      </c>
      <c r="N72" s="123" t="s">
        <v>305</v>
      </c>
      <c r="O72" s="190">
        <v>0</v>
      </c>
      <c r="BA72" s="215"/>
      <c r="BC72" s="34"/>
      <c r="BE72" s="214"/>
      <c r="BF72" s="213"/>
      <c r="BG72" s="34"/>
    </row>
    <row r="73" spans="13:59" ht="18" customHeight="1" x14ac:dyDescent="0.25">
      <c r="M73" s="243" t="s">
        <v>342</v>
      </c>
      <c r="N73" s="123" t="s">
        <v>305</v>
      </c>
      <c r="O73" s="190">
        <v>0</v>
      </c>
      <c r="BA73" s="215"/>
      <c r="BC73" s="34"/>
      <c r="BE73" s="214"/>
      <c r="BF73" s="213"/>
      <c r="BG73" s="34"/>
    </row>
    <row r="74" spans="13:59" ht="18" customHeight="1" x14ac:dyDescent="0.25">
      <c r="M74" s="241" t="s">
        <v>349</v>
      </c>
      <c r="N74" s="123" t="s">
        <v>246</v>
      </c>
      <c r="O74" s="190">
        <v>0</v>
      </c>
      <c r="BA74" s="215"/>
      <c r="BC74" s="34"/>
      <c r="BE74" s="214"/>
      <c r="BF74" s="213"/>
      <c r="BG74" s="34"/>
    </row>
    <row r="75" spans="13:59" ht="18" customHeight="1" x14ac:dyDescent="0.25">
      <c r="M75" s="241" t="s">
        <v>350</v>
      </c>
      <c r="N75" s="123" t="s">
        <v>246</v>
      </c>
      <c r="O75" s="190">
        <v>0</v>
      </c>
      <c r="BA75" s="215"/>
      <c r="BC75" s="34"/>
      <c r="BE75" s="214"/>
      <c r="BF75" s="213"/>
      <c r="BG75" s="34"/>
    </row>
    <row r="76" spans="13:59" ht="18" customHeight="1" x14ac:dyDescent="0.25">
      <c r="M76" s="241" t="s">
        <v>240</v>
      </c>
      <c r="N76" s="123" t="s">
        <v>305</v>
      </c>
      <c r="O76" s="190">
        <v>0</v>
      </c>
      <c r="BA76" s="215"/>
      <c r="BC76" s="34"/>
      <c r="BE76" s="214"/>
      <c r="BF76" s="213"/>
      <c r="BG76" s="34"/>
    </row>
    <row r="77" spans="13:59" ht="18" customHeight="1" x14ac:dyDescent="0.25">
      <c r="M77" s="241" t="s">
        <v>351</v>
      </c>
      <c r="N77" s="123" t="s">
        <v>305</v>
      </c>
      <c r="O77" s="190">
        <v>0</v>
      </c>
      <c r="BA77" s="215"/>
      <c r="BC77" s="34"/>
      <c r="BE77" s="214"/>
      <c r="BF77" s="213"/>
      <c r="BG77" s="34"/>
    </row>
    <row r="78" spans="13:59" ht="18" customHeight="1" x14ac:dyDescent="0.25">
      <c r="M78" s="241" t="s">
        <v>352</v>
      </c>
      <c r="N78" s="123" t="s">
        <v>353</v>
      </c>
      <c r="O78" s="190">
        <v>0</v>
      </c>
      <c r="BA78" s="215"/>
      <c r="BC78" s="34"/>
      <c r="BE78" s="214"/>
      <c r="BF78" s="213"/>
      <c r="BG78" s="34"/>
    </row>
    <row r="79" spans="13:59" ht="18" customHeight="1" x14ac:dyDescent="0.25">
      <c r="M79" s="241" t="s">
        <v>352</v>
      </c>
      <c r="N79" s="123" t="s">
        <v>353</v>
      </c>
      <c r="O79" s="190">
        <v>0</v>
      </c>
      <c r="BA79" s="215"/>
      <c r="BC79" s="34"/>
      <c r="BE79" s="214"/>
      <c r="BF79" s="213"/>
      <c r="BG79" s="34"/>
    </row>
    <row r="80" spans="13:59" ht="18" customHeight="1" x14ac:dyDescent="0.25">
      <c r="M80" s="239"/>
      <c r="N80" s="238"/>
      <c r="O80" s="240"/>
      <c r="BA80" s="215"/>
      <c r="BC80" s="34"/>
      <c r="BE80" s="214"/>
      <c r="BF80" s="213"/>
      <c r="BG80" s="34"/>
    </row>
    <row r="81" spans="13:59" ht="18" customHeight="1" x14ac:dyDescent="0.25">
      <c r="M81" s="239"/>
      <c r="N81" s="238"/>
      <c r="O81" s="240"/>
      <c r="BA81" s="215"/>
      <c r="BC81" s="34"/>
      <c r="BE81" s="214"/>
      <c r="BF81" s="213"/>
      <c r="BG81" s="34"/>
    </row>
    <row r="82" spans="13:59" ht="18" customHeight="1" x14ac:dyDescent="0.25">
      <c r="M82" s="239"/>
      <c r="N82" s="238"/>
      <c r="O82" s="240"/>
      <c r="BA82" s="215"/>
      <c r="BC82" s="34"/>
      <c r="BE82" s="214"/>
      <c r="BF82" s="213"/>
      <c r="BG82" s="34"/>
    </row>
    <row r="83" spans="13:59" ht="18" customHeight="1" x14ac:dyDescent="0.25">
      <c r="M83" s="239"/>
      <c r="N83" s="238"/>
      <c r="O83" s="240"/>
      <c r="BA83" s="215"/>
      <c r="BC83" s="34"/>
      <c r="BE83" s="214"/>
      <c r="BF83" s="213"/>
      <c r="BG83" s="34"/>
    </row>
    <row r="84" spans="13:59" ht="18" customHeight="1" x14ac:dyDescent="0.25">
      <c r="M84" s="239"/>
      <c r="N84" s="238"/>
      <c r="O84" s="240"/>
      <c r="BA84" s="215"/>
      <c r="BC84" s="34"/>
      <c r="BE84" s="214"/>
      <c r="BF84" s="213"/>
      <c r="BG84" s="34"/>
    </row>
    <row r="85" spans="13:59" ht="18" customHeight="1" x14ac:dyDescent="0.25">
      <c r="M85" s="239"/>
      <c r="N85" s="238"/>
      <c r="O85" s="240"/>
      <c r="BA85" s="215"/>
      <c r="BC85" s="34"/>
      <c r="BE85" s="214"/>
      <c r="BF85" s="213"/>
      <c r="BG85" s="34"/>
    </row>
    <row r="86" spans="13:59" ht="18" customHeight="1" x14ac:dyDescent="0.25">
      <c r="M86" s="239"/>
      <c r="N86" s="238"/>
      <c r="O86" s="240"/>
      <c r="BA86" s="215"/>
      <c r="BC86" s="34"/>
      <c r="BE86" s="214"/>
      <c r="BF86" s="213"/>
      <c r="BG86" s="34"/>
    </row>
    <row r="87" spans="13:59" ht="18" customHeight="1" x14ac:dyDescent="0.25">
      <c r="M87" s="239"/>
      <c r="N87" s="238"/>
      <c r="O87" s="240"/>
      <c r="BA87" s="215"/>
      <c r="BC87" s="34"/>
      <c r="BE87" s="214"/>
      <c r="BF87" s="213"/>
      <c r="BG87" s="34"/>
    </row>
    <row r="88" spans="13:59" ht="18" customHeight="1" x14ac:dyDescent="0.25">
      <c r="M88" s="239"/>
      <c r="N88" s="238"/>
      <c r="O88" s="240"/>
      <c r="BA88" s="215"/>
      <c r="BC88" s="34"/>
      <c r="BE88" s="214"/>
      <c r="BF88" s="213"/>
      <c r="BG88" s="34"/>
    </row>
    <row r="89" spans="13:59" ht="18" customHeight="1" x14ac:dyDescent="0.25">
      <c r="M89" s="239"/>
      <c r="N89" s="238"/>
      <c r="O89" s="240"/>
      <c r="BA89" s="215"/>
      <c r="BC89" s="34"/>
      <c r="BE89" s="214"/>
      <c r="BF89" s="213"/>
      <c r="BG89" s="34"/>
    </row>
    <row r="90" spans="13:59" ht="18" customHeight="1" x14ac:dyDescent="0.25">
      <c r="M90" s="239"/>
      <c r="N90" s="238"/>
      <c r="O90" s="240"/>
      <c r="BA90" s="215"/>
      <c r="BC90" s="34"/>
      <c r="BE90" s="214"/>
      <c r="BF90" s="213"/>
      <c r="BG90" s="34"/>
    </row>
    <row r="91" spans="13:59" ht="18" customHeight="1" x14ac:dyDescent="0.25">
      <c r="M91" s="239"/>
      <c r="N91" s="238"/>
      <c r="O91" s="240"/>
      <c r="BA91" s="215"/>
      <c r="BC91" s="34"/>
      <c r="BE91" s="214"/>
      <c r="BF91" s="213"/>
      <c r="BG91" s="34"/>
    </row>
    <row r="92" spans="13:59" ht="18" customHeight="1" x14ac:dyDescent="0.25">
      <c r="M92" s="239"/>
      <c r="N92" s="238"/>
      <c r="O92" s="240"/>
      <c r="BA92" s="215"/>
      <c r="BC92" s="34"/>
      <c r="BE92" s="214"/>
      <c r="BF92" s="213"/>
      <c r="BG92" s="34"/>
    </row>
    <row r="93" spans="13:59" ht="18" customHeight="1" x14ac:dyDescent="0.25">
      <c r="M93" s="239"/>
      <c r="N93" s="238"/>
      <c r="O93" s="240"/>
      <c r="BA93" s="215"/>
      <c r="BC93" s="34"/>
      <c r="BE93" s="214"/>
      <c r="BF93" s="213"/>
      <c r="BG93" s="34"/>
    </row>
    <row r="94" spans="13:59" ht="18" customHeight="1" x14ac:dyDescent="0.25">
      <c r="M94" s="239"/>
      <c r="N94" s="238"/>
      <c r="O94" s="240"/>
      <c r="BA94" s="215"/>
      <c r="BC94" s="34"/>
      <c r="BE94" s="214"/>
      <c r="BF94" s="213"/>
      <c r="BG94" s="34"/>
    </row>
    <row r="95" spans="13:59" ht="18" customHeight="1" x14ac:dyDescent="0.25">
      <c r="M95" s="239"/>
      <c r="N95" s="238"/>
      <c r="O95" s="240"/>
      <c r="BA95" s="215"/>
      <c r="BC95" s="34"/>
      <c r="BE95" s="214"/>
      <c r="BF95" s="213"/>
      <c r="BG95" s="34"/>
    </row>
    <row r="96" spans="13:59" ht="18" customHeight="1" x14ac:dyDescent="0.25">
      <c r="M96" s="239"/>
      <c r="N96" s="238"/>
      <c r="O96" s="240"/>
      <c r="BA96" s="215"/>
      <c r="BC96" s="34"/>
      <c r="BE96" s="214"/>
      <c r="BF96" s="213"/>
      <c r="BG96" s="34"/>
    </row>
    <row r="97" spans="13:59" ht="18" customHeight="1" x14ac:dyDescent="0.25">
      <c r="M97" s="239"/>
      <c r="N97" s="238"/>
      <c r="O97" s="240"/>
      <c r="BA97" s="215"/>
      <c r="BC97" s="34"/>
      <c r="BE97" s="214"/>
      <c r="BF97" s="213"/>
      <c r="BG97" s="34"/>
    </row>
    <row r="98" spans="13:59" ht="18" customHeight="1" x14ac:dyDescent="0.25">
      <c r="M98" s="239"/>
      <c r="N98" s="238"/>
      <c r="O98" s="240"/>
      <c r="BA98" s="215"/>
      <c r="BC98" s="34"/>
      <c r="BE98" s="214"/>
      <c r="BF98" s="213"/>
      <c r="BG98" s="34"/>
    </row>
    <row r="99" spans="13:59" ht="18" customHeight="1" x14ac:dyDescent="0.25">
      <c r="M99" s="239"/>
      <c r="N99" s="238"/>
      <c r="O99" s="240"/>
      <c r="BA99" s="215"/>
      <c r="BC99" s="34"/>
      <c r="BE99" s="214"/>
      <c r="BF99" s="213"/>
      <c r="BG99" s="34"/>
    </row>
    <row r="100" spans="13:59" ht="18" customHeight="1" x14ac:dyDescent="0.25">
      <c r="M100" s="239"/>
      <c r="N100" s="238"/>
      <c r="O100" s="240"/>
      <c r="BA100" s="215"/>
      <c r="BC100" s="34"/>
      <c r="BE100" s="214"/>
      <c r="BF100" s="213"/>
      <c r="BG100" s="34"/>
    </row>
    <row r="101" spans="13:59" ht="18" customHeight="1" x14ac:dyDescent="0.25">
      <c r="M101" s="239"/>
      <c r="N101" s="238"/>
      <c r="O101" s="240"/>
      <c r="BA101" s="215"/>
      <c r="BC101" s="34"/>
      <c r="BE101" s="214"/>
      <c r="BF101" s="213"/>
      <c r="BG101" s="34"/>
    </row>
    <row r="102" spans="13:59" ht="18" customHeight="1" x14ac:dyDescent="0.25">
      <c r="M102" s="239"/>
      <c r="N102" s="238"/>
      <c r="O102" s="240"/>
      <c r="BA102" s="215"/>
      <c r="BC102" s="34"/>
      <c r="BE102" s="214"/>
      <c r="BF102" s="213"/>
      <c r="BG102" s="34"/>
    </row>
    <row r="103" spans="13:59" ht="18" customHeight="1" x14ac:dyDescent="0.25">
      <c r="M103" s="239"/>
      <c r="N103" s="238"/>
      <c r="O103" s="240"/>
      <c r="BA103" s="215"/>
      <c r="BC103" s="34"/>
      <c r="BE103" s="214"/>
      <c r="BF103" s="213"/>
      <c r="BG103" s="34"/>
    </row>
  </sheetData>
  <dataConsolidate/>
  <mergeCells count="12">
    <mergeCell ref="N19:O19"/>
    <mergeCell ref="N20:O20"/>
    <mergeCell ref="M23:O23"/>
    <mergeCell ref="B31:D32"/>
    <mergeCell ref="G31:I32"/>
    <mergeCell ref="M31:O32"/>
    <mergeCell ref="B2:G2"/>
    <mergeCell ref="N12:O12"/>
    <mergeCell ref="N13:O13"/>
    <mergeCell ref="N14:O14"/>
    <mergeCell ref="N15:O15"/>
    <mergeCell ref="N18:O18"/>
  </mergeCells>
  <dataValidations count="1">
    <dataValidation type="custom" allowBlank="1" showInputMessage="1" showErrorMessage="1" sqref="G35:G39" xr:uid="{5C14BDC0-D676-41E0-B99E-B4D1FF7AB59E}">
      <formula1>routers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Refresher">
                <anchor moveWithCells="1" sizeWithCells="1">
                  <from>
                    <xdr:col>6</xdr:col>
                    <xdr:colOff>2933700</xdr:colOff>
                    <xdr:row>1</xdr:row>
                    <xdr:rowOff>152400</xdr:rowOff>
                  </from>
                  <to>
                    <xdr:col>7</xdr:col>
                    <xdr:colOff>1685925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print="0" autoFill="0" autoPict="0" macro="[0]!CreateDirtySheet">
                <anchor moveWithCells="1">
                  <from>
                    <xdr:col>8</xdr:col>
                    <xdr:colOff>304800</xdr:colOff>
                    <xdr:row>1</xdr:row>
                    <xdr:rowOff>142875</xdr:rowOff>
                  </from>
                  <to>
                    <xdr:col>11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263CA-2FE1-424C-8123-4620B5F8477C}">
  <sheetPr codeName="Sheet4"/>
  <dimension ref="A1:C52"/>
  <sheetViews>
    <sheetView workbookViewId="0">
      <selection activeCell="C24" sqref="C24"/>
    </sheetView>
  </sheetViews>
  <sheetFormatPr defaultRowHeight="15" x14ac:dyDescent="0.25"/>
  <cols>
    <col min="1" max="1" width="34.42578125" customWidth="1"/>
    <col min="2" max="2" width="60.7109375" customWidth="1"/>
    <col min="3" max="3" width="35.140625" customWidth="1"/>
  </cols>
  <sheetData>
    <row r="1" spans="1:2" x14ac:dyDescent="0.25">
      <c r="A1" t="s">
        <v>96</v>
      </c>
      <c r="B1" t="s">
        <v>147</v>
      </c>
    </row>
    <row r="2" spans="1:2" x14ac:dyDescent="0.25">
      <c r="A2" s="20" t="str">
        <f>IFERROR(INDEX(tblDashInternalFR[[#All],[INTERNAL SOURCE]],ROW(A2)),"")</f>
        <v>GARBAGE FEE</v>
      </c>
      <c r="B2" s="176">
        <f>IFERROR(INDEX(tblDashInternalFR[[#All],[PERCENTAGE]],ROW(A2)),"")</f>
        <v>0.161277316345456</v>
      </c>
    </row>
    <row r="3" spans="1:2" x14ac:dyDescent="0.25">
      <c r="A3" s="20" t="str">
        <f>IFERROR(INDEX(tblDashInternalFR[[#All],[INTERNAL SOURCE]],ROW(A3)),"")</f>
        <v>LANDFILL FEE</v>
      </c>
      <c r="B3" s="176">
        <f>IFERROR(INDEX(tblDashInternalFR[[#All],[PERCENTAGE]],ROW(A3)),"")</f>
        <v>8.0638658172728012E-5</v>
      </c>
    </row>
    <row r="4" spans="1:2" x14ac:dyDescent="0.25">
      <c r="A4" s="20" t="str">
        <f>IFERROR(INDEX(tblDashInternalFR[[#All],[INTERNAL SOURCE]],ROW(A4)),"")</f>
        <v>SALE FROM IN-SITU RECYCLING</v>
      </c>
      <c r="B4" s="176">
        <f>IFERROR(INDEX(tblDashInternalFR[[#All],[PERCENTAGE]],ROW(A4)),"")</f>
        <v>3.2255463269091206E-2</v>
      </c>
    </row>
    <row r="5" spans="1:2" x14ac:dyDescent="0.25">
      <c r="A5" s="20" t="str">
        <f>IFERROR(INDEX(tblDashInternalFR[[#All],[INTERNAL SOURCE]],ROW(A5)),"")</f>
        <v>TOTAL</v>
      </c>
      <c r="B5" s="176">
        <f>IFERROR(INDEX(tblDashInternalFR[[#All],[PERCENTAGE]],ROW(A5)),"")</f>
        <v>0.19361341827271994</v>
      </c>
    </row>
    <row r="6" spans="1:2" x14ac:dyDescent="0.25">
      <c r="A6" s="20" t="str">
        <f>IFERROR(INDEX(tblDashInternalFR[[#All],[INTERNAL SOURCE]],ROW(A6)),"")</f>
        <v/>
      </c>
      <c r="B6" s="176" t="str">
        <f>IFERROR(INDEX(tblDashInternalFR[[#All],[PERCENTAGE]],ROW(A6)),"")</f>
        <v/>
      </c>
    </row>
    <row r="7" spans="1:2" x14ac:dyDescent="0.25">
      <c r="A7" s="20" t="str">
        <f>IFERROR(INDEX(tblDashInternalFR[[#All],[INTERNAL SOURCE]],ROW(A7)),"")</f>
        <v/>
      </c>
      <c r="B7" s="176" t="str">
        <f>IFERROR(INDEX(tblDashInternalFR[[#All],[PERCENTAGE]],ROW(A7)),"")</f>
        <v/>
      </c>
    </row>
    <row r="8" spans="1:2" x14ac:dyDescent="0.25">
      <c r="A8" s="20" t="str">
        <f>IFERROR(INDEX(tblDashInternalFR[[#All],[INTERNAL SOURCE]],ROW(A8)),"")</f>
        <v/>
      </c>
      <c r="B8" s="176" t="str">
        <f>IFERROR(INDEX(tblDashInternalFR[[#All],[PERCENTAGE]],ROW(A8)),"")</f>
        <v/>
      </c>
    </row>
    <row r="9" spans="1:2" x14ac:dyDescent="0.25">
      <c r="A9" s="20" t="str">
        <f>IFERROR(INDEX(tblDashInternalFR[[#All],[INTERNAL SOURCE]],ROW(A9)),"")</f>
        <v/>
      </c>
      <c r="B9" s="176" t="str">
        <f>IFERROR(INDEX(tblDashInternalFR[[#All],[PERCENTAGE]],ROW(A9)),"")</f>
        <v/>
      </c>
    </row>
    <row r="10" spans="1:2" x14ac:dyDescent="0.25">
      <c r="A10" s="20" t="str">
        <f>IFERROR(INDEX(tblDashInternalFR[[#All],[INTERNAL SOURCE]],ROW(A10)),"")</f>
        <v/>
      </c>
      <c r="B10" s="176" t="str">
        <f>IFERROR(INDEX(tblDashInternalFR[[#All],[PERCENTAGE]],ROW(A10)),"")</f>
        <v/>
      </c>
    </row>
    <row r="11" spans="1:2" x14ac:dyDescent="0.25">
      <c r="A11" s="20" t="str">
        <f>IFERROR(INDEX(tblDashInternalFR[[#All],[INTERNAL SOURCE]],ROW(A11)),"")</f>
        <v/>
      </c>
      <c r="B11" s="176" t="str">
        <f>IFERROR(INDEX(tblDashInternalFR[[#All],[PERCENTAGE]],ROW(A11)),"")</f>
        <v/>
      </c>
    </row>
    <row r="12" spans="1:2" x14ac:dyDescent="0.25">
      <c r="A12" s="20" t="str">
        <f>IFERROR(INDEX(tblDashExternalFR[EXTERNAL SOURCE],ROW(A1)),"")</f>
        <v>MoLG</v>
      </c>
      <c r="B12" s="176">
        <f>IFERROR(INDEX(tblDashExternalFR[PERCENTAGE],ROW(A1)),"")</f>
        <v>0.80638658172728006</v>
      </c>
    </row>
    <row r="13" spans="1:2" x14ac:dyDescent="0.25">
      <c r="A13" s="20" t="str">
        <f>IFERROR(INDEX(tblDashExternalFR[EXTERNAL SOURCE],ROW(A2)),"")</f>
        <v/>
      </c>
      <c r="B13" s="176" t="str">
        <f>IFERROR(INDEX(tblDashExternalFR[PERCENTAGE],ROW(A2)),"")</f>
        <v/>
      </c>
    </row>
    <row r="14" spans="1:2" x14ac:dyDescent="0.25">
      <c r="A14" s="20" t="str">
        <f>IFERROR(INDEX(tblDashExternalFR[EXTERNAL SOURCE],ROW(A3)),"")</f>
        <v/>
      </c>
      <c r="B14" s="176" t="str">
        <f>IFERROR(INDEX(tblDashExternalFR[PERCENTAGE],ROW(A3)),"")</f>
        <v/>
      </c>
    </row>
    <row r="15" spans="1:2" x14ac:dyDescent="0.25">
      <c r="A15" s="20" t="str">
        <f>IFERROR(INDEX(tblDashExternalFR[EXTERNAL SOURCE],ROW(A4)),"")</f>
        <v/>
      </c>
      <c r="B15" s="176" t="str">
        <f>IFERROR(INDEX(tblDashExternalFR[PERCENTAGE],ROW(A4)),"")</f>
        <v/>
      </c>
    </row>
    <row r="16" spans="1:2" x14ac:dyDescent="0.25">
      <c r="A16" s="20" t="str">
        <f>IFERROR(INDEX(tblDashExternalFR[EXTERNAL SOURCE],ROW(A5)),"")</f>
        <v/>
      </c>
      <c r="B16" s="176" t="str">
        <f>IFERROR(INDEX(tblDashExternalFR[PERCENTAGE],ROW(A5)),"")</f>
        <v/>
      </c>
    </row>
    <row r="17" spans="1:3" x14ac:dyDescent="0.25">
      <c r="A17" s="20" t="str">
        <f>IFERROR(INDEX(tblDashExternalFR[EXTERNAL SOURCE],ROW(A6)),"")</f>
        <v/>
      </c>
      <c r="B17" s="176" t="str">
        <f>IFERROR(INDEX(tblDashExternalFR[PERCENTAGE],ROW(A6)),"")</f>
        <v/>
      </c>
    </row>
    <row r="18" spans="1:3" x14ac:dyDescent="0.25">
      <c r="A18" s="20" t="str">
        <f>IFERROR(INDEX(tblDashExternalFR[EXTERNAL SOURCE],ROW(A7)),"")</f>
        <v/>
      </c>
      <c r="B18" s="176" t="str">
        <f>IFERROR(INDEX(tblDashExternalFR[PERCENTAGE],ROW(A7)),"")</f>
        <v/>
      </c>
    </row>
    <row r="19" spans="1:3" x14ac:dyDescent="0.25">
      <c r="A19" s="20" t="s">
        <v>249</v>
      </c>
      <c r="B19" s="176" t="s">
        <v>250</v>
      </c>
    </row>
    <row r="20" spans="1:3" x14ac:dyDescent="0.25">
      <c r="A20" s="20" t="s">
        <v>251</v>
      </c>
      <c r="B20" s="176" t="s">
        <v>252</v>
      </c>
    </row>
    <row r="21" spans="1:3" x14ac:dyDescent="0.25">
      <c r="A21" s="20"/>
      <c r="B21" s="176" t="str">
        <f>IFERROR(INDEX(tblDashExternalFR[PERCENTAGE],ROW(A10)),"")</f>
        <v/>
      </c>
    </row>
    <row r="22" spans="1:3" x14ac:dyDescent="0.25">
      <c r="A22" s="20" t="str">
        <f>IFERROR(INDEX(tblDashExternalFR[[#All],[EXTERNAL SOURCE]],ROW(A21)),"")</f>
        <v/>
      </c>
      <c r="B22" s="176" t="str">
        <f>IFERROR(INDEX(tblDashExternalFR[PERCENTAGE],ROW(A11)),"")</f>
        <v/>
      </c>
    </row>
    <row r="23" spans="1:3" x14ac:dyDescent="0.25">
      <c r="A23" s="20" t="str">
        <f>IFERROR(INDEX(tblDashExternalFR[[#All],[EXTERNAL SOURCE]],ROW(A22)),"")</f>
        <v/>
      </c>
    </row>
    <row r="30" spans="1:3" x14ac:dyDescent="0.25">
      <c r="A30" s="177" t="s">
        <v>267</v>
      </c>
      <c r="B30" s="178" t="s">
        <v>97</v>
      </c>
      <c r="C30" s="179" t="s">
        <v>147</v>
      </c>
    </row>
    <row r="31" spans="1:3" x14ac:dyDescent="0.25">
      <c r="A31" s="294" t="s">
        <v>87</v>
      </c>
      <c r="B31" s="295">
        <v>578274.97100000002</v>
      </c>
      <c r="C31" s="296">
        <v>0.40117005286727137</v>
      </c>
    </row>
    <row r="32" spans="1:3" x14ac:dyDescent="0.25">
      <c r="A32" s="294" t="s">
        <v>88</v>
      </c>
      <c r="B32" s="295">
        <v>387343.7635</v>
      </c>
      <c r="C32" s="296">
        <v>0.26871423781732867</v>
      </c>
    </row>
    <row r="33" spans="1:3" x14ac:dyDescent="0.25">
      <c r="A33" s="294" t="s">
        <v>89</v>
      </c>
      <c r="B33" s="295">
        <v>1200</v>
      </c>
      <c r="C33" s="296">
        <v>8.3248296672470989E-4</v>
      </c>
    </row>
    <row r="34" spans="1:3" x14ac:dyDescent="0.25">
      <c r="A34" s="294" t="s">
        <v>83</v>
      </c>
      <c r="B34" s="295">
        <v>24652.2</v>
      </c>
      <c r="C34" s="296">
        <v>1.7102113826909078E-2</v>
      </c>
    </row>
    <row r="35" spans="1:3" x14ac:dyDescent="0.25">
      <c r="A35" s="294" t="s">
        <v>433</v>
      </c>
      <c r="B35" s="295">
        <v>450000</v>
      </c>
      <c r="C35" s="296">
        <v>0.31218111252176622</v>
      </c>
    </row>
    <row r="52" spans="1:1" x14ac:dyDescent="0.25">
      <c r="A52" t="s">
        <v>256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3ABFF1-0C57-4C41-A345-FEAC89CF2B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Master_Input</vt:lpstr>
      <vt:lpstr>Dashboard</vt:lpstr>
      <vt:lpstr>Financial_Resources</vt:lpstr>
      <vt:lpstr>Collection and Transport Town B</vt:lpstr>
      <vt:lpstr>Disposal</vt:lpstr>
      <vt:lpstr>Public Awareness</vt:lpstr>
      <vt:lpstr>Administration</vt:lpstr>
      <vt:lpstr>C&amp;T Delegated</vt:lpstr>
      <vt:lpstr>DirtySheet_140427</vt:lpstr>
      <vt:lpstr>GrandTotal_OC</vt:lpstr>
      <vt:lpstr>Master_Input!router</vt:lpstr>
      <vt:lpstr>Administration!routers</vt:lpstr>
      <vt:lpstr>'C&amp;T Delegated'!routers</vt:lpstr>
      <vt:lpstr>'Collection and Transport Town B'!routers</vt:lpstr>
      <vt:lpstr>DirtySheet_140427!routers</vt:lpstr>
      <vt:lpstr>Disposal!routers</vt:lpstr>
      <vt:lpstr>'Public Awareness'!routers</vt:lpstr>
      <vt:lpstr>routers</vt:lpstr>
      <vt:lpstr>TotalExpense_OC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Yoshiyuki Canoy</dc:creator>
  <cp:lastModifiedBy>j-prism3 nk</cp:lastModifiedBy>
  <cp:lastPrinted>2026-04-16T06:57:47Z</cp:lastPrinted>
  <dcterms:created xsi:type="dcterms:W3CDTF">2026-04-15T09:38:32Z</dcterms:created>
  <dcterms:modified xsi:type="dcterms:W3CDTF">2026-06-01T02:05:07Z</dcterms:modified>
</cp:coreProperties>
</file>